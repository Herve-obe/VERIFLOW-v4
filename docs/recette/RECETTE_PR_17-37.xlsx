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Tests" sheetId="1" state="visible" r:id="rId1"/>
    <sheet name="Synthèse" sheetId="2" state="visible" r:id="rId2"/>
    <sheet name="Légende" sheetId="3" state="visible" r:id="rId3"/>
  </sheets>
  <definedNames>
    <definedName name="_xlnm._FilterDatabase" localSheetId="0" hidden="1">'Tests'!$A$4:$J$54</definedName>
    <definedName name="_xlnm.Print_Titles" localSheetId="0">'Tests'!$4:$4</definedName>
  </definedNames>
  <calcPr calcId="191029" fullCalcOnLoad="1"/>
</workbook>
</file>

<file path=xl/styles.xml><?xml version="1.0" encoding="utf-8"?>
<styleSheet xmlns="http://schemas.openxmlformats.org/spreadsheetml/2006/main">
  <numFmts count="1">
    <numFmt numFmtId="164" formatCode="DD/MM/YYYY"/>
  </numFmts>
  <fonts count="12">
    <font>
      <name val="Calibri"/>
      <family val="2"/>
      <color theme="1"/>
      <sz val="11"/>
      <scheme val="minor"/>
    </font>
    <font>
      <name val="Arial"/>
      <b val="1"/>
      <sz val="14"/>
    </font>
    <font>
      <name val="Arial"/>
      <i val="1"/>
      <color rgb="FF595959"/>
      <sz val="11"/>
    </font>
    <font>
      <name val="Arial"/>
      <b val="1"/>
      <color rgb="FFFFFFFF"/>
      <sz val="11"/>
    </font>
    <font>
      <name val="Arial"/>
      <sz val="10"/>
    </font>
    <font>
      <name val="Arial"/>
      <b val="1"/>
      <sz val="13"/>
    </font>
    <font>
      <name val="Arial"/>
      <b val="1"/>
      <sz val="10"/>
    </font>
    <font>
      <name val="Arial"/>
      <i val="1"/>
      <sz val="10"/>
    </font>
    <font>
      <name val="Arial"/>
      <b val="1"/>
      <color rgb="FFFFFFFF"/>
      <sz val="11"/>
    </font>
    <font>
      <name val="Arial"/>
      <b val="1"/>
      <color rgb="FFFFFFFF"/>
      <sz val="11"/>
    </font>
    <font>
      <name val="Arial"/>
      <b val="1"/>
      <sz val="11"/>
    </font>
    <font>
      <name val="Arial"/>
      <i val="1"/>
      <color rgb="FF595959"/>
      <sz val="9"/>
    </font>
  </fonts>
  <fills count="12">
    <fill>
      <patternFill/>
    </fill>
    <fill>
      <patternFill patternType="gray125"/>
    </fill>
    <fill>
      <patternFill patternType="solid">
        <fgColor rgb="FF1F3864"/>
      </patternFill>
    </fill>
    <fill>
      <patternFill patternType="solid">
        <fgColor rgb="FFFFF2CC"/>
      </patternFill>
    </fill>
    <fill>
      <patternFill patternType="solid">
        <fgColor rgb="FF1F3864"/>
      </patternFill>
    </fill>
    <fill>
      <patternFill patternType="solid">
        <fgColor rgb="FFE2EFDA"/>
      </patternFill>
    </fill>
    <fill>
      <patternFill patternType="solid">
        <fgColor rgb="FFE2EFDA"/>
      </patternFill>
    </fill>
    <fill>
      <patternFill patternType="solid">
        <fgColor rgb="FFFFF2CC"/>
      </patternFill>
    </fill>
    <fill>
      <patternFill patternType="solid">
        <fgColor rgb="FF1F3864"/>
      </patternFill>
    </fill>
    <fill>
      <patternFill patternType="solid">
        <fgColor rgb="FFD9E1F2"/>
      </patternFill>
    </fill>
    <fill>
      <patternFill patternType="solid">
        <fgColor rgb="00E2EFDA"/>
      </patternFill>
    </fill>
    <fill>
      <patternFill patternType="solid">
        <fgColor rgb="00FFF2CC"/>
      </patternFill>
    </fill>
  </fills>
  <borders count="5">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5">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horizontal="center" vertical="top" wrapText="1"/>
    </xf>
    <xf numFmtId="0" fontId="4" fillId="0" borderId="1" applyAlignment="1" pivotButton="0" quotePrefix="0" xfId="0">
      <alignment horizontal="left" vertical="top" wrapText="1"/>
    </xf>
    <xf numFmtId="0" fontId="4" fillId="3" borderId="1" applyAlignment="1" pivotButton="0" quotePrefix="0" xfId="0">
      <alignment horizontal="center" vertical="top" wrapText="1"/>
    </xf>
    <xf numFmtId="14" fontId="4" fillId="3" borderId="1" applyAlignment="1" pivotButton="0" quotePrefix="0" xfId="0">
      <alignment horizontal="center" vertical="top" wrapText="1"/>
    </xf>
    <xf numFmtId="0" fontId="4" fillId="3" borderId="1" applyAlignment="1" pivotButton="0" quotePrefix="0" xfId="0">
      <alignment horizontal="left" vertical="top" wrapText="1"/>
    </xf>
    <xf numFmtId="0" fontId="5" fillId="0" borderId="0" pivotButton="0" quotePrefix="0" xfId="0"/>
    <xf numFmtId="0" fontId="6" fillId="0" borderId="0" pivotButton="0" quotePrefix="0" xfId="0"/>
    <xf numFmtId="0" fontId="4" fillId="0" borderId="0" applyAlignment="1" pivotButton="0" quotePrefix="0" xfId="0">
      <alignment vertical="top" wrapText="1"/>
    </xf>
    <xf numFmtId="0" fontId="3" fillId="2" borderId="1" pivotButton="0" quotePrefix="0" xfId="0"/>
    <xf numFmtId="0" fontId="7" fillId="3" borderId="1" applyAlignment="1" pivotButton="0" quotePrefix="0" xfId="0">
      <alignment vertical="top" wrapText="1"/>
    </xf>
    <xf numFmtId="0" fontId="8" fillId="4" borderId="2" applyAlignment="1" pivotButton="0" quotePrefix="0" xfId="0">
      <alignment horizontal="center" vertical="center" wrapText="1"/>
    </xf>
    <xf numFmtId="0" fontId="4" fillId="0" borderId="2" applyAlignment="1" pivotButton="0" quotePrefix="0" xfId="0">
      <alignment vertical="top" wrapText="1"/>
    </xf>
    <xf numFmtId="0" fontId="4" fillId="5" borderId="2" applyAlignment="1" pivotButton="0" quotePrefix="0" xfId="0">
      <alignment vertical="top" wrapText="1"/>
    </xf>
    <xf numFmtId="0" fontId="4" fillId="6" borderId="3" applyAlignment="1" pivotButton="0" quotePrefix="0" xfId="0">
      <alignment vertical="top" wrapText="1"/>
    </xf>
    <xf numFmtId="0" fontId="4" fillId="0" borderId="3" applyAlignment="1" pivotButton="0" quotePrefix="0" xfId="0">
      <alignment horizontal="center" vertical="top" wrapText="1"/>
    </xf>
    <xf numFmtId="0" fontId="4" fillId="0" borderId="3" applyAlignment="1" pivotButton="0" quotePrefix="0" xfId="0">
      <alignment horizontal="left" vertical="top" wrapText="1"/>
    </xf>
    <xf numFmtId="0" fontId="4" fillId="7" borderId="3" applyAlignment="1" pivotButton="0" quotePrefix="0" xfId="0">
      <alignment horizontal="center" vertical="top" wrapText="1"/>
    </xf>
    <xf numFmtId="14" fontId="4" fillId="7" borderId="3" applyAlignment="1" pivotButton="0" quotePrefix="0" xfId="0">
      <alignment horizontal="center" vertical="top" wrapText="1"/>
    </xf>
    <xf numFmtId="0" fontId="4" fillId="7" borderId="3" applyAlignment="1" pivotButton="0" quotePrefix="0" xfId="0">
      <alignment horizontal="left" vertical="top" wrapText="1"/>
    </xf>
    <xf numFmtId="0" fontId="4" fillId="6" borderId="3" applyAlignment="1" pivotButton="0" quotePrefix="0" xfId="0">
      <alignment horizontal="left" vertical="top" wrapText="1"/>
    </xf>
    <xf numFmtId="0" fontId="9" fillId="8" borderId="3" applyAlignment="1" pivotButton="0" quotePrefix="0" xfId="0">
      <alignment horizontal="center"/>
    </xf>
    <xf numFmtId="0" fontId="4" fillId="0" borderId="3" applyAlignment="1" pivotButton="0" quotePrefix="0" xfId="0">
      <alignment horizontal="center"/>
    </xf>
    <xf numFmtId="0" fontId="10" fillId="9" borderId="3" applyAlignment="1" pivotButton="0" quotePrefix="0" xfId="0">
      <alignment horizontal="center"/>
    </xf>
    <xf numFmtId="0" fontId="11" fillId="0" borderId="0" pivotButton="0" quotePrefix="0" xfId="0"/>
    <xf numFmtId="0" fontId="4" fillId="10" borderId="4" applyAlignment="1" pivotButton="0" quotePrefix="0" xfId="0">
      <alignment vertical="top" wrapText="1"/>
    </xf>
    <xf numFmtId="0" fontId="4" fillId="0" borderId="4" applyAlignment="1" pivotButton="0" quotePrefix="0" xfId="0">
      <alignment horizontal="center" vertical="top" wrapText="1"/>
    </xf>
    <xf numFmtId="0" fontId="4" fillId="0" borderId="4" applyAlignment="1" pivotButton="0" quotePrefix="0" xfId="0">
      <alignment horizontal="left" vertical="top" wrapText="1"/>
    </xf>
    <xf numFmtId="0" fontId="4" fillId="11" borderId="4" applyAlignment="1" pivotButton="0" quotePrefix="0" xfId="0">
      <alignment horizontal="center" vertical="top" wrapText="1"/>
    </xf>
    <xf numFmtId="164" fontId="4" fillId="11" borderId="4" applyAlignment="1" pivotButton="0" quotePrefix="0" xfId="0">
      <alignment horizontal="center" vertical="top" wrapText="1"/>
    </xf>
    <xf numFmtId="0" fontId="4" fillId="11" borderId="4" applyAlignment="1" pivotButton="0" quotePrefix="0" xfId="0">
      <alignment horizontal="left" vertical="top" wrapText="1"/>
    </xf>
    <xf numFmtId="0" fontId="4" fillId="10" borderId="4" applyAlignment="1" pivotButton="0" quotePrefix="0" xfId="0">
      <alignment horizontal="left" vertical="top" wrapText="1"/>
    </xf>
  </cellXfs>
  <cellStyles count="1">
    <cellStyle name="Normal" xfId="0" builtinId="0"/>
  </cellStyles>
  <dxfs count="10">
    <dxf>
      <fill>
        <patternFill patternType="solid">
          <fgColor rgb="FFFFC7CE"/>
        </patternFill>
      </fill>
    </dxf>
    <dxf>
      <fill>
        <patternFill patternType="solid">
          <fgColor rgb="FFC6EFCE"/>
        </patternFill>
      </fill>
    </dxf>
    <dxf>
      <fill>
        <patternFill patternType="solid">
          <fgColor rgb="FFD9D9D9"/>
        </patternFill>
      </fill>
    </dxf>
    <dxf>
      <fill>
        <patternFill patternType="solid">
          <fgColor rgb="FFFFEB9C"/>
        </patternFill>
      </fill>
    </dxf>
    <dxf>
      <fill>
        <patternFill patternType="solid">
          <fgColor rgb="FFFFC7CE"/>
        </patternFill>
      </fill>
    </dxf>
    <dxf>
      <fill>
        <patternFill patternType="solid">
          <fgColor rgb="FFC6EFCE"/>
        </patternFill>
      </fill>
    </dxf>
    <dxf>
      <fill>
        <patternFill patternType="solid">
          <fgColor rgb="00C6EFCE"/>
        </patternFill>
      </fill>
    </dxf>
    <dxf>
      <fill>
        <patternFill patternType="solid">
          <fgColor rgb="00FFC7CE"/>
        </patternFill>
      </fill>
    </dxf>
    <dxf>
      <fill>
        <patternFill patternType="solid">
          <fgColor rgb="00FFEB9C"/>
        </patternFill>
      </fill>
    </dxf>
    <dxf>
      <fill>
        <patternFill patternType="solid">
          <f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filterMode="1">
    <outlinePr summaryBelow="1" summaryRight="1"/>
    <pageSetUpPr fitToPage="1"/>
  </sheetPr>
  <dimension ref="A1:J54"/>
  <sheetViews>
    <sheetView tabSelected="1" workbookViewId="0">
      <pane xSplit="3" ySplit="4" topLeftCell="D27" activePane="bottomRight" state="frozen"/>
      <selection pane="topRight" activeCell="A1" sqref="A1"/>
      <selection pane="bottomLeft" activeCell="A1" sqref="A1"/>
      <selection pane="bottomRight" activeCell="I39" sqref="I39"/>
    </sheetView>
  </sheetViews>
  <sheetFormatPr baseColWidth="10" defaultColWidth="9.140625" defaultRowHeight="15"/>
  <cols>
    <col width="5" customWidth="1" min="1" max="1"/>
    <col width="22" customWidth="1" min="2" max="2"/>
    <col width="12" customWidth="1" min="3" max="3"/>
    <col width="55" customWidth="1" min="4" max="5"/>
    <col width="11" customWidth="1" min="6" max="6"/>
    <col width="13" customWidth="1" min="7" max="7"/>
    <col width="12" customWidth="1" min="8" max="8"/>
    <col width="50" customWidth="1" min="9" max="9"/>
    <col width="60" customWidth="1" min="10" max="10"/>
  </cols>
  <sheetData>
    <row r="1" ht="18" customHeight="1">
      <c r="A1" s="1" t="inlineStr">
        <is>
          <t>Recette VERIFLOW : PR 17 à 41 (build de la branche claude/recette, Windows 11)</t>
        </is>
      </c>
    </row>
    <row r="2">
      <c r="A2" s="2" t="inlineStr">
        <is>
          <t>Remplir uniquement les colonnes jaunes (Effectué, Résultat, Date, Commentaires). Mode d'emploi : onglet Légende.</t>
        </is>
      </c>
    </row>
    <row r="4">
      <c r="A4" s="3" t="inlineStr">
        <is>
          <t>N°</t>
        </is>
      </c>
      <c r="B4" s="3" t="inlineStr">
        <is>
          <t>Section</t>
        </is>
      </c>
      <c r="C4" s="3" t="inlineStr">
        <is>
          <t>PR</t>
        </is>
      </c>
      <c r="D4" s="3" t="inlineStr">
        <is>
          <t>Action</t>
        </is>
      </c>
      <c r="E4" s="3" t="inlineStr">
        <is>
          <t>Résultat attendu</t>
        </is>
      </c>
      <c r="F4" s="3" t="inlineStr">
        <is>
          <t>Effectué</t>
        </is>
      </c>
      <c r="G4" s="3" t="inlineStr">
        <is>
          <t>Résultat</t>
        </is>
      </c>
      <c r="H4" s="3" t="inlineStr">
        <is>
          <t>Date</t>
        </is>
      </c>
      <c r="I4" s="3" t="inlineStr">
        <is>
          <t>Commentaires</t>
        </is>
      </c>
      <c r="J4" s="14" t="inlineStr">
        <is>
          <t>Réponse de Claude (mise à jour 27/10)</t>
        </is>
      </c>
    </row>
    <row r="5" hidden="1" ht="25.5" customHeight="1">
      <c r="A5" s="4" t="n">
        <v>1</v>
      </c>
      <c r="B5" s="5" t="inlineStr">
        <is>
          <t>A. Installation et menus</t>
        </is>
      </c>
      <c r="C5" s="4" t="inlineStr">
        <is>
          <t>37</t>
        </is>
      </c>
      <c r="D5" s="5" t="inlineStr">
        <is>
          <t>Lancer setup.exe (build claude/recette, artefact veriflow-windows-latest).</t>
        </is>
      </c>
      <c r="E5" s="5" t="inlineStr">
        <is>
          <t>L'installeur affiche le CLUF en français avant l'installation.</t>
        </is>
      </c>
      <c r="F5" s="6" t="inlineStr">
        <is>
          <t>Oui</t>
        </is>
      </c>
      <c r="G5" s="6" t="inlineStr">
        <is>
          <t>OK</t>
        </is>
      </c>
      <c r="H5" s="7" t="n">
        <v>46317</v>
      </c>
      <c r="I5" s="8" t="inlineStr">
        <is>
          <t>RAS</t>
        </is>
      </c>
      <c r="J5" s="15" t="n"/>
    </row>
    <row r="6" hidden="1" ht="25.5" customHeight="1">
      <c r="A6" s="4" t="n">
        <v>2</v>
      </c>
      <c r="B6" s="5" t="inlineStr">
        <is>
          <t>A. Installation et menus</t>
        </is>
      </c>
      <c r="C6" s="4" t="inlineStr">
        <is>
          <t>37</t>
        </is>
      </c>
      <c r="D6" s="5" t="inlineStr">
        <is>
          <t>Aide &gt; À propos.</t>
        </is>
      </c>
      <c r="E6" s="5" t="inlineStr">
        <is>
          <t>Version de FFmpeg (9.0.2) et bouton « Licences, CLUF et CGU » affichés.</t>
        </is>
      </c>
      <c r="F6" s="6" t="inlineStr">
        <is>
          <t>Oui</t>
        </is>
      </c>
      <c r="G6" s="6" t="inlineStr">
        <is>
          <t>OK</t>
        </is>
      </c>
      <c r="H6" s="7" t="n">
        <v>46317</v>
      </c>
      <c r="I6" s="8" t="inlineStr">
        <is>
          <t>RAS</t>
        </is>
      </c>
      <c r="J6" s="15" t="n"/>
    </row>
    <row r="7" hidden="1" ht="25.5" customHeight="1">
      <c r="A7" s="4" t="n">
        <v>3</v>
      </c>
      <c r="B7" s="5" t="inlineStr">
        <is>
          <t>A. Installation et menus</t>
        </is>
      </c>
      <c r="C7" s="4" t="inlineStr">
        <is>
          <t>37</t>
        </is>
      </c>
      <c r="D7" s="5" t="inlineStr">
        <is>
          <t>Cliquer sur « Licences, CLUF et CGU », ouvrir chaque rubrique.</t>
        </is>
      </c>
      <c r="E7" s="5" t="inlineStr">
        <is>
          <t>VERIFLOW, CLUF, CGU, FFmpeg (version et configuration), Composants tiers et Textes des licences ont tous un texte.</t>
        </is>
      </c>
      <c r="F7" s="6" t="inlineStr">
        <is>
          <t>Oui</t>
        </is>
      </c>
      <c r="G7" s="6" t="inlineStr">
        <is>
          <t>OK</t>
        </is>
      </c>
      <c r="H7" s="7" t="n">
        <v>46317</v>
      </c>
      <c r="I7" s="8" t="inlineStr">
        <is>
          <t>RAS</t>
        </is>
      </c>
      <c r="J7" s="15" t="n"/>
    </row>
    <row r="8" ht="89.25" customHeight="1">
      <c r="A8" s="4" t="n">
        <v>4</v>
      </c>
      <c r="B8" s="5" t="inlineStr">
        <is>
          <t>A. Installation et menus</t>
        </is>
      </c>
      <c r="C8" s="4" t="inlineStr">
        <is>
          <t>26</t>
        </is>
      </c>
      <c r="D8" s="5" t="inlineStr">
        <is>
          <t>Appuyer sur F1, changer de chapitre dans le sommaire. Relire le fond.</t>
        </is>
      </c>
      <c r="E8" s="5" t="inlineStr">
        <is>
          <t>Le guide s'ouvre, le sommaire change de chapitre. Remarques de fond dans Commentaires.</t>
        </is>
      </c>
      <c r="F8" s="6" t="inlineStr">
        <is>
          <t>Oui</t>
        </is>
      </c>
      <c r="G8" s="6" t="inlineStr">
        <is>
          <t>Partiel</t>
        </is>
      </c>
      <c r="H8" s="7" t="n">
        <v>46321</v>
      </c>
      <c r="I8" s="8" t="inlineStr">
        <is>
          <t>Ajouter des images du logiciel avec mise en avant des points mentionnés dans la version html dispo dans le logiciel + au lancement de Veriflow, l'application s'ouvre à chaque en mode fenêtre, il faut qu'elle s'ouvre par défaut fenêtre ajustée à la taille de l'écran et retienne le réglage si l'utilisateur laisse ainsi et ferme ou s'il l'a laissé en mode fenêtre.</t>
        </is>
      </c>
      <c r="J8" s="28" t="inlineStr">
        <is>
          <t>Fenêtre agrandie au premier lancement, taille et état retenus : fait, voir test 39 (build du 27/10 (run 40517638115)). Captures dans le guide : à faire (PR à venir).</t>
        </is>
      </c>
    </row>
    <row r="9" hidden="1" ht="25.5" customHeight="1">
      <c r="A9" s="4" t="n">
        <v>5</v>
      </c>
      <c r="B9" s="5" t="inlineStr">
        <is>
          <t>A. Installation et menus</t>
        </is>
      </c>
      <c r="C9" s="4" t="inlineStr">
        <is>
          <t>25</t>
        </is>
      </c>
      <c r="D9" s="5" t="inlineStr">
        <is>
          <t>Préférences &gt; Raccourcis : passer « Nouveau projet » en Ctrl+Maj+N ; donner Ctrl+S à « Ouvrir » ; puis « Tout rétablir ».</t>
        </is>
      </c>
      <c r="E9" s="5" t="inlineStr">
        <is>
          <t>Nouveau raccourci affiché dans le menu Fichier et actif ; message « Ctrl+S retiré de Enregistrer » ; défauts rétablis.</t>
        </is>
      </c>
      <c r="F9" s="6" t="inlineStr">
        <is>
          <t>Oui</t>
        </is>
      </c>
      <c r="G9" s="6" t="inlineStr">
        <is>
          <t>OK</t>
        </is>
      </c>
      <c r="H9" s="7" t="n">
        <v>46317</v>
      </c>
      <c r="I9" s="8" t="inlineStr">
        <is>
          <t>RAS</t>
        </is>
      </c>
      <c r="J9" s="15" t="n"/>
    </row>
    <row r="10" hidden="1" ht="63.75" customHeight="1">
      <c r="A10" s="4" t="n">
        <v>6</v>
      </c>
      <c r="B10" s="5" t="inlineStr">
        <is>
          <t>A. Installation et menus</t>
        </is>
      </c>
      <c r="C10" s="4" t="inlineStr">
        <is>
          <t>25</t>
        </is>
      </c>
      <c r="D10" s="5" t="inlineStr">
        <is>
          <t>Changer les valeurs des onglets OFFLOAD, PLAYER, TRANSCODE des Préférences, puis Général &gt; « Remettre à zéro maintenant ».</t>
        </is>
      </c>
      <c r="E10" s="5" t="inlineStr">
        <is>
          <t>Les onglets de travail reprennent les valeurs des Préférences.</t>
        </is>
      </c>
      <c r="F10" s="6" t="inlineStr">
        <is>
          <t>Oui</t>
        </is>
      </c>
      <c r="G10" s="6" t="inlineStr">
        <is>
          <t>OK</t>
        </is>
      </c>
      <c r="H10" s="7" t="n">
        <v>46317</v>
      </c>
      <c r="I10" s="8" t="inlineStr">
        <is>
          <t>RAS</t>
        </is>
      </c>
      <c r="J10" s="16" t="inlineStr">
        <is>
          <t>Corrigé : bouton « Valider » (applique tout de suite aux onglets et lecteurs ouverts), « Annuler », « Valeurs d'usine » par rubrique. « Remettre à zéro maintenant » renommé « Vider l'état de travail » : il vide les destinations et dossiers en cours, pas les Préférences. À refaire dans le nouveau build.</t>
        </is>
      </c>
    </row>
    <row r="11" hidden="1">
      <c r="A11" s="4" t="n">
        <v>7</v>
      </c>
      <c r="B11" s="5" t="inlineStr">
        <is>
          <t>B. OFFLOAD</t>
        </is>
      </c>
      <c r="C11" s="4" t="inlineStr">
        <is>
          <t>21</t>
        </is>
      </c>
      <c r="D11" s="5" t="inlineStr">
        <is>
          <t>Brancher le disque externe USB.</t>
        </is>
      </c>
      <c r="E11" s="5" t="inlineStr">
        <is>
          <t>Le disque apparaît comme amovible dans l'explorateur.</t>
        </is>
      </c>
      <c r="F11" s="6" t="inlineStr">
        <is>
          <t>Oui</t>
        </is>
      </c>
      <c r="G11" s="6" t="inlineStr">
        <is>
          <t>OK</t>
        </is>
      </c>
      <c r="H11" s="7" t="n">
        <v>46317</v>
      </c>
      <c r="I11" s="8" t="inlineStr">
        <is>
          <t>RAS</t>
        </is>
      </c>
      <c r="J11" s="15" t="n"/>
    </row>
    <row r="12" hidden="1" ht="25.5" customHeight="1">
      <c r="A12" s="4" t="n">
        <v>8</v>
      </c>
      <c r="B12" s="5" t="inlineStr">
        <is>
          <t>B. OFFLOAD</t>
        </is>
      </c>
      <c r="C12" s="4" t="inlineStr">
        <is>
          <t>32</t>
        </is>
      </c>
      <c r="D12" s="5" t="inlineStr">
        <is>
          <t>Bloc « Rapport PDF » : choisir un logo (PNG transparent si possible), laisser « Vignettes des vidéos » cochée.</t>
        </is>
      </c>
      <c r="E12" s="5" t="inlineStr">
        <is>
          <t>Réglages acceptés et mémorisés.</t>
        </is>
      </c>
      <c r="F12" s="6" t="inlineStr">
        <is>
          <t>Oui</t>
        </is>
      </c>
      <c r="G12" s="6" t="inlineStr">
        <is>
          <t>OK</t>
        </is>
      </c>
      <c r="H12" s="7" t="n">
        <v>46317</v>
      </c>
      <c r="I12" s="8" t="inlineStr">
        <is>
          <t>RAS</t>
        </is>
      </c>
      <c r="J12" s="15" t="n"/>
    </row>
    <row r="13" hidden="1" ht="25.5" customHeight="1">
      <c r="A13" s="4" t="n">
        <v>9</v>
      </c>
      <c r="B13" s="5" t="inlineStr">
        <is>
          <t>B. OFFLOAD</t>
        </is>
      </c>
      <c r="C13" s="4" t="inlineStr">
        <is>
          <t>33</t>
        </is>
      </c>
      <c r="D13" s="5" t="inlineStr">
        <is>
          <t>Cocher « Horodatage certifié RFC 3161 » (PC connecté à Internet).</t>
        </is>
      </c>
      <c r="E13" s="5" t="inlineStr">
        <is>
          <t>Option cochée, adresse DigiCert proposée.</t>
        </is>
      </c>
      <c r="F13" s="6" t="inlineStr">
        <is>
          <t>Oui</t>
        </is>
      </c>
      <c r="G13" s="6" t="inlineStr">
        <is>
          <t>OK</t>
        </is>
      </c>
      <c r="H13" s="7" t="n">
        <v>46317</v>
      </c>
      <c r="I13" s="8" t="inlineStr">
        <is>
          <t>RAS</t>
        </is>
      </c>
      <c r="J13" s="15" t="n"/>
    </row>
    <row r="14" hidden="1" ht="38.25" customHeight="1">
      <c r="A14" s="4" t="n">
        <v>10</v>
      </c>
      <c r="B14" s="5" t="inlineStr">
        <is>
          <t>B. OFFLOAD</t>
        </is>
      </c>
      <c r="C14" s="4" t="inlineStr">
        <is>
          <t>31</t>
        </is>
      </c>
      <c r="D14" s="5" t="inlineStr">
        <is>
          <t>Reconnaissance de carte : choisir comme source un dossier qui a gardé la structure d'une carte caméra (dossier PRIVATE/M4ROOT de Sony, fichiers .R3D de RED, clips A001C001... d'ARRI). Puis modèle d'arborescence {date}/{camera}/{bobine} et lecture de l'aperçu du chemin.</t>
        </is>
      </c>
      <c r="E14" s="5" t="inlineStr">
        <is>
          <t>Sous la source : « Carte reconnue : &lt;type&gt;, bobine &lt;nom&gt; ». L'aperçu du chemin reprend la lettre de caméra et la bobine. Sans structure de carte : rien d'affiché, {bobine} prend le nom du dossier.</t>
        </is>
      </c>
      <c r="F14" s="6" t="inlineStr">
        <is>
          <t>Oui</t>
        </is>
      </c>
      <c r="G14" s="6" t="inlineStr">
        <is>
          <t>OK</t>
        </is>
      </c>
      <c r="H14" s="7" t="n">
        <v>46318</v>
      </c>
      <c r="I14" s="8" t="inlineStr">
        <is>
          <t>RAS</t>
        </is>
      </c>
      <c r="J14" s="16" t="inlineStr">
        <is>
          <t>Test reformulé (colonne Action) : il vérifie que VERIFLOW reconnaît le type de carte d'après ses dossiers. Sans carte caméra, ou sans dossier qui a gardé la structure d'origine, marque « Non testable » et vérifie seulement l'aperçu du chemin.</t>
        </is>
      </c>
    </row>
    <row r="15" hidden="1" ht="38.25" customHeight="1">
      <c r="A15" s="4" t="n">
        <v>11</v>
      </c>
      <c r="B15" s="5" t="inlineStr">
        <is>
          <t>B. OFFLOAD</t>
        </is>
      </c>
      <c r="C15" s="4" t="inlineStr">
        <is>
          <t>21, 31, 32, 33</t>
        </is>
      </c>
      <c r="D15" s="5" t="inlineStr">
        <is>
          <t>Copier un dossier de rushes vers le disque interne, « Éjecter la source après la copie » cochée.</t>
        </is>
      </c>
      <c r="E15" s="5" t="inlineStr">
        <is>
          <t>Dossier créé conforme à l'aperçu ; PDF avec logo et vignettes ; date certifiée sur la carte de la copie et fichier .pdf.tsr à côté du PDF ; « Source éjectée » sans fermer VERIFLOW.</t>
        </is>
      </c>
      <c r="F15" s="6" t="inlineStr">
        <is>
          <t>Oui</t>
        </is>
      </c>
      <c r="G15" s="6" t="inlineStr">
        <is>
          <t>OK</t>
        </is>
      </c>
      <c r="H15" s="7" t="n">
        <v>46317</v>
      </c>
      <c r="I15" s="8" t="inlineStr">
        <is>
          <t>Dans l'explorer de Veriflow, il y a un icone "ejecter" à côté des disques externes, cartes…etc, il faudrait que cet icône permette aussi d'éjecter ces supports en toute sécurité</t>
        </is>
      </c>
      <c r="J15" s="17" t="inlineStr">
        <is>
          <t>Bouton ⏏ de l'explorateur : fait, voir test 30 (build du 24/10 (run 40104706786)).</t>
        </is>
      </c>
    </row>
    <row r="16" hidden="1" ht="25.5" customHeight="1">
      <c r="A16" s="4" t="n">
        <v>12</v>
      </c>
      <c r="B16" s="5" t="inlineStr">
        <is>
          <t>B. OFFLOAD</t>
        </is>
      </c>
      <c r="C16" s="4" t="inlineStr">
        <is>
          <t>33</t>
        </is>
      </c>
      <c r="D16" s="5" t="inlineStr">
        <is>
          <t>Rebrancher le disque, couper le Wi-Fi, refaire une petite copie.</t>
        </is>
      </c>
      <c r="E16" s="5" t="inlineStr">
        <is>
          <t>Rapports écrits ; « Horodatage impossible » affiché avec la cause.</t>
        </is>
      </c>
      <c r="F16" s="6" t="inlineStr">
        <is>
          <t>Oui</t>
        </is>
      </c>
      <c r="G16" s="6" t="inlineStr">
        <is>
          <t>OK</t>
        </is>
      </c>
      <c r="H16" s="7" t="n">
        <v>46317</v>
      </c>
      <c r="I16" s="8" t="inlineStr">
        <is>
          <t>RAS</t>
        </is>
      </c>
      <c r="J16" s="15" t="n"/>
    </row>
    <row r="17" hidden="1" ht="25.5" customHeight="1">
      <c r="A17" s="4" t="n">
        <v>13</v>
      </c>
      <c r="B17" s="5" t="inlineStr">
        <is>
          <t>B. OFFLOAD</t>
        </is>
      </c>
      <c r="C17" s="4" t="inlineStr">
        <is>
          <t>21</t>
        </is>
      </c>
      <c r="D17" s="5" t="inlineStr">
        <is>
          <t>Refaire une copie avec un fichier de la source ouvert dans un autre logiciel.</t>
        </is>
      </c>
      <c r="E17" s="5" t="inlineStr">
        <is>
          <t>Message « encore utilisé par un autre programme » ; le disque reste visible.</t>
        </is>
      </c>
      <c r="F17" s="6" t="inlineStr">
        <is>
          <t>Oui</t>
        </is>
      </c>
      <c r="G17" s="6" t="inlineStr">
        <is>
          <t>OK</t>
        </is>
      </c>
      <c r="H17" s="7" t="n">
        <v>46317</v>
      </c>
      <c r="I17" s="8" t="inlineStr">
        <is>
          <t>RAS</t>
        </is>
      </c>
      <c r="J17" s="16" t="inlineStr">
        <is>
          <t>À refaire après le test 11.</t>
        </is>
      </c>
    </row>
    <row r="18" hidden="1" ht="63.75" customHeight="1">
      <c r="A18" s="4" t="n">
        <v>14</v>
      </c>
      <c r="B18" s="5" t="inlineStr">
        <is>
          <t>C. MEDIA et second écran</t>
        </is>
      </c>
      <c r="C18" s="4" t="inlineStr">
        <is>
          <t>35</t>
        </is>
      </c>
      <c r="D18" s="5" t="inlineStr">
        <is>
          <t>Double-clic sur un rush vidéo ; glisser la fenêtre sur la TV, la redimensionner ; Échap ; rouvrir.</t>
        </is>
      </c>
      <c r="E18" s="5" t="inlineStr">
        <is>
          <t>Vraie fenêtre système ; elle revient sur la TV, à la même taille.</t>
        </is>
      </c>
      <c r="F18" s="6" t="inlineStr">
        <is>
          <t>Oui</t>
        </is>
      </c>
      <c r="G18" s="6" t="inlineStr">
        <is>
          <t>OK</t>
        </is>
      </c>
      <c r="H18" s="7" t="n">
        <v>46321</v>
      </c>
      <c r="I18" s="8" t="inlineStr">
        <is>
          <t>Fenêtre glissée sur le 2e écran, double clic dans la barre du haut pour adapter à la taille de l'écran (pas en plein écran, juste fenêtre adaptée). Echap, ferme le lecteur pop-up. Double clic sur le même rush, le lecteur pop-up se rouvre sur le 1er écran, pas sur le 2e</t>
        </is>
      </c>
      <c r="J18" s="17" t="inlineStr">
        <is>
          <t>Corrigé : place mémorisée en pixels réels et fenêtre agrandie rétablie sur le même écran. À refaire avec le build du 24/10 (run 40104706786).</t>
        </is>
      </c>
    </row>
    <row r="19" hidden="1" ht="25.5" customHeight="1">
      <c r="A19" s="4" t="n">
        <v>15</v>
      </c>
      <c r="B19" s="5" t="inlineStr">
        <is>
          <t>C. MEDIA et second écran</t>
        </is>
      </c>
      <c r="C19" s="4" t="inlineStr">
        <is>
          <t>35</t>
        </is>
      </c>
      <c r="D19" s="5" t="inlineStr">
        <is>
          <t>Double-clic sur un autre rush pendant que la fenêtre est ouverte.</t>
        </is>
      </c>
      <c r="E19" s="5" t="inlineStr">
        <is>
          <t>La même fenêtre recharge le nouveau rush.</t>
        </is>
      </c>
      <c r="F19" s="6" t="inlineStr">
        <is>
          <t>Oui</t>
        </is>
      </c>
      <c r="G19" s="6" t="inlineStr">
        <is>
          <t>OK</t>
        </is>
      </c>
      <c r="H19" s="7" t="n">
        <v>46319</v>
      </c>
      <c r="I19" s="8" t="inlineStr">
        <is>
          <t>Même protocole, pas en plein écran, juste fenêtre adaptée, la fenêtre reste bien en place et lance le 2e rush</t>
        </is>
      </c>
      <c r="J19" s="15" t="n"/>
    </row>
    <row r="20" ht="63.75" customHeight="1">
      <c r="A20" s="4" t="n">
        <v>16</v>
      </c>
      <c r="B20" s="5" t="inlineStr">
        <is>
          <t>C. MEDIA et second écran</t>
        </is>
      </c>
      <c r="C20" s="4" t="inlineStr">
        <is>
          <t>35, 17</t>
        </is>
      </c>
      <c r="D20" s="5" t="inlineStr">
        <is>
          <t>Sortie moniteur sur la TV depuis le lecteur rapide ; bouger puis immobiliser la souris sur la TV ; puis sortie moniteur depuis le PLAYER.</t>
        </is>
      </c>
      <c r="E20" s="5" t="inlineStr">
        <is>
          <t>Curseur masqué après 2 s d'immobilité, visible dès qu'il bouge ; un seul lecteur alimente la TV.</t>
        </is>
      </c>
      <c r="F20" s="6" t="inlineStr">
        <is>
          <t>Oui</t>
        </is>
      </c>
      <c r="G20" s="6" t="inlineStr">
        <is>
          <t>Partiel</t>
        </is>
      </c>
      <c r="H20" s="7" t="n">
        <v>46321</v>
      </c>
      <c r="I20" s="8" t="inlineStr">
        <is>
          <t>Lecteur pop-up déplacé sur le 2e écran, sortie TV choisie, affichage plein écran. Curseur souris disparait au bout de 2 sec et réapparait si je le bouge, mais pas de contrôle de lecture possible avec espace : ne fonctionne que quand le lecteur n'est pas en plein écran.</t>
        </is>
      </c>
      <c r="J20" s="28" t="inlineStr">
        <is>
          <t>Corrigé : après l'ouverture du moniteur, le clavier revient au lecteur (un clic sur le moniteur le lui donne, Échap le ferme). À refaire avec le build du 27/10 (run 40517638115).</t>
        </is>
      </c>
    </row>
    <row r="21" ht="63.75" customHeight="1">
      <c r="A21" s="4" t="n">
        <v>17</v>
      </c>
      <c r="B21" s="5" t="inlineStr">
        <is>
          <t>C. MEDIA et second écran</t>
        </is>
      </c>
      <c r="C21" s="4" t="inlineStr">
        <is>
          <t>35</t>
        </is>
      </c>
      <c r="D21" s="5" t="inlineStr">
        <is>
          <t>Débrancher la TV, rouvrir le lecteur rapide.</t>
        </is>
      </c>
      <c r="E21" s="5" t="inlineStr">
        <is>
          <t>La fenêtre s'ouvre au centre de l'écran du portable.</t>
        </is>
      </c>
      <c r="F21" s="6" t="inlineStr">
        <is>
          <t>Oui</t>
        </is>
      </c>
      <c r="G21" s="6" t="inlineStr">
        <is>
          <t>Partiel</t>
        </is>
      </c>
      <c r="H21" s="7" t="n">
        <v>46321</v>
      </c>
      <c r="I21" s="8" t="inlineStr">
        <is>
          <t>Lecteur pop-up ouvert sur le 2e écran. Je débranche le 2e écran, le lecteur revient sur l'écran principal. Je ferme le lecteur pop-up, je double clic sur un rush, le lecteur pop-up s'ouvre sur l'écran principal (toujours pas de 2e écran branché) mais message d'erreur audio (voir capture)</t>
        </is>
      </c>
      <c r="J21" s="28" t="inlineStr">
        <is>
          <t>Cause trouvée : la sortie « par défaut du système » de Windows refuse le mode COM choisi par la bibliothèque audio. Les fils audio passent en mode multithread avant elle. À refaire avec le build du 27/10 (run 40517638115).</t>
        </is>
      </c>
    </row>
    <row r="22" ht="127.5" customHeight="1">
      <c r="A22" s="4" t="n">
        <v>18</v>
      </c>
      <c r="B22" s="5" t="inlineStr">
        <is>
          <t>C. MEDIA et second écran</t>
        </is>
      </c>
      <c r="C22" s="4" t="inlineStr">
        <is>
          <t>34</t>
        </is>
      </c>
      <c r="D22" s="5" t="inlineStr">
        <is>
          <t>Seulement avec un WAV de plus de 4 Go : modifier la scène ou un nom de piste, faire la copie de travail, l'ouvrir dans Reaper, Resolve ou Pro Tools.</t>
        </is>
      </c>
      <c r="E22" s="5" t="inlineStr">
        <is>
          <t>Durée, pistes et métadonnées justes.</t>
        </is>
      </c>
      <c r="F22" s="6" t="inlineStr">
        <is>
          <t>Oui</t>
        </is>
      </c>
      <c r="G22" s="6" t="inlineStr">
        <is>
          <t>Partiel</t>
        </is>
      </c>
      <c r="H22" s="7" t="n">
        <v>46321</v>
      </c>
      <c r="I22" s="8" t="inlineStr">
        <is>
          <t xml:space="preserve">Double clic sur un media audio ouvre le player pop-up mais demande de charger un media (voir capture).
</t>
        </is>
      </c>
      <c r="J22" s="28" t="inlineStr">
        <is>
          <t>Même cause que le test 17 : le son ne s'ouvrait pas, et la vue restait vide. L'erreur éventuelle s'affiche maintenant dans la vue. À refaire avec le build du 27/10 (run 40517638115).</t>
        </is>
      </c>
    </row>
    <row r="23" ht="25.5" customHeight="1">
      <c r="A23" s="4" t="n">
        <v>19</v>
      </c>
      <c r="B23" s="5" t="inlineStr">
        <is>
          <t>D. PLAYER</t>
        </is>
      </c>
      <c r="C23" s="4" t="inlineStr">
        <is>
          <t>30</t>
        </is>
      </c>
      <c r="D23" s="5" t="inlineStr">
        <is>
          <t>Vidéo de smartphone avec un clap : lecture depuis le début, puis après un saut au milieu.</t>
        </is>
      </c>
      <c r="E23" s="5" t="inlineStr">
        <is>
          <t>Son synchrone dans les deux cas.</t>
        </is>
      </c>
      <c r="F23" s="6" t="inlineStr">
        <is>
          <t>Non</t>
        </is>
      </c>
      <c r="G23" s="6" t="n"/>
      <c r="H23" s="7" t="n"/>
      <c r="I23" s="8" t="n"/>
      <c r="J23" s="15" t="n"/>
    </row>
    <row r="24" ht="153" customHeight="1">
      <c r="A24" s="4" t="n">
        <v>20</v>
      </c>
      <c r="B24" s="5" t="inlineStr">
        <is>
          <t>D. PLAYER</t>
        </is>
      </c>
      <c r="C24" s="4" t="inlineStr">
        <is>
          <t>29</t>
        </is>
      </c>
      <c r="D24" s="5" t="inlineStr">
        <is>
          <t>1. Préférences &gt; PLAYER : cocher « Ouvrir la saisie du rapport à chaque nouvelle prise », puis Valider. 2. Ouvrir un projet. 3. Dans MEDIA, ouvrir un clip dans le PLAYER. 4. Fermer la saisie (Échap), ouvrir un AUTRE clip dans le PLAYER. 5. Rouvrir le MÊME clip.</t>
        </is>
      </c>
      <c r="E24" s="5" t="inlineStr">
        <is>
          <t>Étape 3 et 4 : la fenêtre de saisie du rapport (touche R) s'ouvre seule. Étape 5 : elle ne s'ouvre pas.</t>
        </is>
      </c>
      <c r="F24" s="6" t="inlineStr">
        <is>
          <t>Oui</t>
        </is>
      </c>
      <c r="G24" s="6" t="inlineStr">
        <is>
          <t>OK</t>
        </is>
      </c>
      <c r="H24" s="7" t="n">
        <v>46321</v>
      </c>
      <c r="I24" s="8" t="inlineStr">
        <is>
          <t>Fonctionnel mais je ne comprends pas l'utilité.
Il serait plus intéressant de pouvoir avoir accès aussi à l'explorer sur la gauche de l'application comme dans OFFLOAD et MEDIA.</t>
        </is>
      </c>
      <c r="J24" s="28" t="inlineStr">
        <is>
          <t>Utilité : en visionnant les prises une à une, la ligne du rapport s'ouvre seule, sans appuyer sur R. Explorateur à gauche dans le PLAYER : noté, à faire avec la liste de lecture (PR à venir).</t>
        </is>
      </c>
    </row>
    <row r="25" hidden="1" ht="25.5" customHeight="1">
      <c r="A25" s="4" t="n">
        <v>21</v>
      </c>
      <c r="B25" s="5" t="inlineStr">
        <is>
          <t>D. PLAYER</t>
        </is>
      </c>
      <c r="C25" s="4" t="inlineStr">
        <is>
          <t>5 (en attente)</t>
        </is>
      </c>
      <c r="D25" s="5" t="inlineStr">
        <is>
          <t>Ouvrir un rush vidéo avec du LTC sur une piste audio.</t>
        </is>
      </c>
      <c r="E25" s="5" t="inlineStr">
        <is>
          <t>Piste LTC coupée ; trois choix proposés : laisser coupée, baisser de 30 dB, réactiver.</t>
        </is>
      </c>
      <c r="F25" s="6" t="inlineStr">
        <is>
          <t>Oui</t>
        </is>
      </c>
      <c r="G25" s="6" t="inlineStr">
        <is>
          <t>OK</t>
        </is>
      </c>
      <c r="H25" s="7" t="n">
        <v>46319</v>
      </c>
      <c r="I25" s="8" t="inlineStr">
        <is>
          <t>RAS</t>
        </is>
      </c>
      <c r="J25" s="15" t="n"/>
    </row>
    <row r="26" ht="25.5" customHeight="1">
      <c r="A26" s="4" t="n">
        <v>22</v>
      </c>
      <c r="B26" s="5" t="inlineStr">
        <is>
          <t>E. SYNC</t>
        </is>
      </c>
      <c r="C26" s="4" t="inlineStr">
        <is>
          <t>SYNC</t>
        </is>
      </c>
      <c r="D26" s="5" t="inlineStr">
        <is>
          <t>Analyse vidéo et son : un cas avec TC, si possible un cas avec seulement du LTC sur une piste audio.</t>
        </is>
      </c>
      <c r="E26" s="5" t="inlineStr">
        <is>
          <t>Paires trouvées et calées (noter les cas non trouvés).</t>
        </is>
      </c>
      <c r="F26" s="6" t="inlineStr">
        <is>
          <t>Non</t>
        </is>
      </c>
      <c r="G26" s="6" t="n"/>
      <c r="H26" s="7" t="n"/>
      <c r="I26" s="8" t="n"/>
      <c r="J26" s="15" t="n"/>
    </row>
    <row r="27" ht="89.25" customHeight="1">
      <c r="A27" s="4" t="n">
        <v>23</v>
      </c>
      <c r="B27" s="5" t="inlineStr">
        <is>
          <t>E. SYNC</t>
        </is>
      </c>
      <c r="C27" s="4" t="inlineStr">
        <is>
          <t>20</t>
        </is>
      </c>
      <c r="D27" s="5" t="inlineStr">
        <is>
          <t>Ouvrir le détail d'une paire, faire défiler la colonne de gauche.</t>
        </is>
      </c>
      <c r="E27" s="5" t="inlineStr">
        <is>
          <t>Seule la colonne de gauche défile ; l'explorateur ne bouge pas.</t>
        </is>
      </c>
      <c r="F27" s="6" t="inlineStr">
        <is>
          <t>Oui</t>
        </is>
      </c>
      <c r="G27" s="6" t="inlineStr">
        <is>
          <t>Partiel</t>
        </is>
      </c>
      <c r="H27" s="7" t="n">
        <v>46321</v>
      </c>
      <c r="I27" s="8" t="inlineStr">
        <is>
          <t>Si j'ai bien compris : j'ai importé plusieurs rushes vidéo et plusieurs audio dans l'onglet SYNC, quand je déplace la souris sur une colonne et j'utilise la molette, seule la colonne que je survole défile (Explorer, Vidéo ou Audio). Par contre, j'ai remarqué que "Vidéo" et "Audio" sont écrit tout à gauche, il faudrait que chacun soit au dessus de sa colonne (voir capture)</t>
        </is>
      </c>
      <c r="J27" s="28" t="inlineStr">
        <is>
          <t>Oui, c'est le bon protocole : test OK pour le défilement. Titres « Vidéos » et « Sons » au-dessus de chaque liste : fait. À revoir avec le build du 27/10 (run 40517638115).</t>
        </is>
      </c>
    </row>
    <row r="28" ht="51" customHeight="1">
      <c r="A28" s="4" t="n">
        <v>24</v>
      </c>
      <c r="B28" s="5" t="inlineStr">
        <is>
          <t>E. SYNC</t>
        </is>
      </c>
      <c r="C28" s="4" t="inlineStr">
        <is>
          <t>23</t>
        </is>
      </c>
      <c r="D28" s="5" t="inlineStr">
        <is>
          <t>Re-wrap « Dans un dossier ».</t>
        </is>
      </c>
      <c r="E28" s="5" t="inlineStr">
        <is>
          <t>Fichiers _sync créés dans le dossier choisi.</t>
        </is>
      </c>
      <c r="F28" s="6" t="inlineStr">
        <is>
          <t>Oui</t>
        </is>
      </c>
      <c r="G28" s="6" t="inlineStr">
        <is>
          <t>KO</t>
        </is>
      </c>
      <c r="H28" s="7" t="n">
        <v>46321</v>
      </c>
      <c r="I28" s="8" t="inlineStr">
        <is>
          <t>Il manque des réglages dans la partie droite (voir captures)</t>
        </is>
      </c>
      <c r="J28" s="28" t="inlineStr">
        <is>
          <t>Corrigé : la destination et les options d'export sont visibles dès le départ (bouton actif après l'analyse). À refaire avec le build du 27/10 (run 40517638115).</t>
        </is>
      </c>
    </row>
    <row r="29" hidden="1">
      <c r="A29" s="4" t="n">
        <v>25</v>
      </c>
      <c r="B29" s="5" t="inlineStr">
        <is>
          <t>E. SYNC</t>
        </is>
      </c>
      <c r="C29" s="4" t="inlineStr">
        <is>
          <t>27</t>
        </is>
      </c>
      <c r="D29" s="5" t="inlineStr">
        <is>
          <t>Passer l'interface en anglais (Préférences &gt; Général &gt; Langue).</t>
        </is>
      </c>
      <c r="E29" s="5" t="inlineStr">
        <is>
          <t>Remarques des paires affichées en anglais.</t>
        </is>
      </c>
      <c r="F29" s="6" t="inlineStr">
        <is>
          <t>Oui</t>
        </is>
      </c>
      <c r="G29" s="6" t="inlineStr">
        <is>
          <t>OK</t>
        </is>
      </c>
      <c r="H29" s="7" t="n">
        <v>46319</v>
      </c>
      <c r="I29" s="8" t="inlineStr">
        <is>
          <t>RAS</t>
        </is>
      </c>
      <c r="J29" s="15" t="n"/>
    </row>
    <row r="30" hidden="1" ht="63.75" customHeight="1">
      <c r="A30" s="4" t="n">
        <v>26</v>
      </c>
      <c r="B30" s="5" t="inlineStr">
        <is>
          <t>F. TRANSCODE</t>
        </is>
      </c>
      <c r="C30" s="4" t="inlineStr">
        <is>
          <t>28</t>
        </is>
      </c>
      <c r="D30" s="5" t="inlineStr">
        <is>
          <t>1. Resolve : titre (texte blanc) sur une timeline vide. 2. Deliver : QuickTime, Apple ProRes 4444, « Export Alpha » coché. 3. TRANSCODE : ajouter ce fichier, préréglage ProRes 4444, lancer. 4. Refaire avec le préréglage PNG. 5. Réimporter les deux dans Resolve, au-dessus d'une image.</t>
        </is>
      </c>
      <c r="E30" s="5" t="inlineStr">
        <is>
          <t>Le texte est détouré sur l'image (fond transparent). Fond noir = transparence perdue.</t>
        </is>
      </c>
      <c r="F30" s="6" t="inlineStr">
        <is>
          <t>Oui</t>
        </is>
      </c>
      <c r="G30" s="6" t="inlineStr">
        <is>
          <t>OK</t>
        </is>
      </c>
      <c r="H30" s="7" t="n">
        <v>46321</v>
      </c>
      <c r="I30" s="8" t="inlineStr">
        <is>
          <t>RAS</t>
        </is>
      </c>
      <c r="J30" s="17" t="inlineStr">
        <is>
          <t>Test réécrit pas à pas (colonne Action).</t>
        </is>
      </c>
    </row>
    <row r="31" hidden="1" ht="38.25" customHeight="1">
      <c r="A31" s="4" t="n">
        <v>27</v>
      </c>
      <c r="B31" s="5" t="inlineStr">
        <is>
          <t>F. TRANSCODE</t>
        </is>
      </c>
      <c r="C31" s="4" t="inlineStr">
        <is>
          <t>36</t>
        </is>
      </c>
      <c r="D31" s="5" t="inlineStr">
        <is>
          <t>1. TRANSCODE &gt; Incrustations : « Créer des sous-titres », saisir deux sous-titres, enregistrer en ASS. 2. Rouvrir ce fichier avec « Éditer », corriger un texte et un temps, enregistrer. 3. Cocher l'incrustation de ce fichier sur une vidéo et lancer. 4. (Si Aegisub) ouvrir le fichier.</t>
        </is>
      </c>
      <c r="E31" s="5" t="inlineStr">
        <is>
          <t>Corrections conservées à la réouverture ; sous-titres visibles à l'image aux bons temps ; styles intacts dans Aegisub.</t>
        </is>
      </c>
      <c r="F31" s="6" t="inlineStr">
        <is>
          <t>Oui</t>
        </is>
      </c>
      <c r="G31" s="6" t="inlineStr">
        <is>
          <t>OK</t>
        </is>
      </c>
      <c r="H31" s="7" t="n">
        <v>46321</v>
      </c>
      <c r="I31" s="8" t="inlineStr">
        <is>
          <t>RAS</t>
        </is>
      </c>
      <c r="J31" s="17" t="inlineStr">
        <is>
          <t>Test réécrit pas à pas (colonne Action).</t>
        </is>
      </c>
    </row>
    <row r="32" hidden="1" ht="25.5" customHeight="1">
      <c r="A32" s="4" t="n">
        <v>28</v>
      </c>
      <c r="B32" s="5" t="inlineStr">
        <is>
          <t>G. Fin : données et désinstallation</t>
        </is>
      </c>
      <c r="C32" s="4" t="inlineStr">
        <is>
          <t>24</t>
        </is>
      </c>
      <c r="D32" s="5" t="inlineStr">
        <is>
          <t>Préférences &gt; Général &gt; liste « À l'ouverture de VERIFLOW » : choisir « Repartir à zéro ». Fermer puis rouvrir VERIFLOW.</t>
        </is>
      </c>
      <c r="E32" s="5" t="inlineStr">
        <is>
          <t>État de travail vide (destinations, dossiers dépliés) ; langue et favoris conservés.</t>
        </is>
      </c>
      <c r="F32" s="6" t="inlineStr">
        <is>
          <t>Oui</t>
        </is>
      </c>
      <c r="G32" s="6" t="inlineStr">
        <is>
          <t>OK</t>
        </is>
      </c>
      <c r="H32" s="7" t="n">
        <v>46321</v>
      </c>
      <c r="I32" s="8" t="inlineStr">
        <is>
          <t>Garder tout de même le réglage par défaut de l'applicaiton qui s'ouvre en grande fenêtre ajustée à l'écran. (voir test 4)</t>
        </is>
      </c>
      <c r="J32" s="17" t="inlineStr">
        <is>
          <t>L'option est dans la liste déroulante « À l'ouverture de VERIFLOW » (Préférences &gt; Général), au-dessus des deux boutons. À refaire.</t>
        </is>
      </c>
    </row>
    <row r="33" hidden="1" ht="38.25" customHeight="1">
      <c r="A33" s="4" t="n">
        <v>29</v>
      </c>
      <c r="B33" s="5" t="inlineStr">
        <is>
          <t>G. Fin : données et désinstallation</t>
        </is>
      </c>
      <c r="C33" s="4" t="inlineStr">
        <is>
          <t>24</t>
        </is>
      </c>
      <c r="D33" s="5" t="inlineStr">
        <is>
          <t>Désinstaller par Paramètres &gt; Applications, case « Supprimer les données de l'application » cochée ; réinstaller.</t>
        </is>
      </c>
      <c r="E33" s="5" t="inlineStr">
        <is>
          <t>Plus aucune destination OFFLOAD.</t>
        </is>
      </c>
      <c r="F33" s="6" t="inlineStr">
        <is>
          <t>Oui</t>
        </is>
      </c>
      <c r="G33" s="6" t="inlineStr">
        <is>
          <t>OK</t>
        </is>
      </c>
      <c r="H33" s="7" t="n">
        <v>46321</v>
      </c>
      <c r="I33" s="8" t="inlineStr">
        <is>
          <t>RAS</t>
        </is>
      </c>
      <c r="J33" s="17" t="inlineStr">
        <is>
          <t>Corrigé : installation dans C:\Program Files\VERIFLOW (droits administrateur demandés). Désinstalle d'abord l'ancienne version (AppData). À refaire avec le build du 24/10 (run 40104706786).</t>
        </is>
      </c>
    </row>
    <row r="34" ht="38.25" customHeight="1">
      <c r="A34" s="18" t="n">
        <v>30</v>
      </c>
      <c r="B34" s="19" t="inlineStr">
        <is>
          <t>B. OFFLOAD</t>
        </is>
      </c>
      <c r="C34" s="18" t="inlineStr">
        <is>
          <t>21</t>
        </is>
      </c>
      <c r="D34" s="19" t="inlineStr">
        <is>
          <t>Explorateur : cliquer sur le bouton ⏏ à côté d'un disque externe ou d'une carte.</t>
        </is>
      </c>
      <c r="E34" s="19" t="inlineStr">
        <is>
          <t>Barre d'état : « Éjecté, tu peux le débrancher ». Le disque disparaît de l'explorateur. En cas de refus, le message donne la raison de Windows.</t>
        </is>
      </c>
      <c r="F34" s="20" t="inlineStr">
        <is>
          <t>Oui</t>
        </is>
      </c>
      <c r="G34" s="20" t="inlineStr">
        <is>
          <t>KO</t>
        </is>
      </c>
      <c r="H34" s="21" t="n">
        <v>46321</v>
      </c>
      <c r="I34" s="22" t="inlineStr">
        <is>
          <t>ejection impossible (voir capture)</t>
        </is>
      </c>
      <c r="J34" s="28" t="inlineStr">
        <is>
          <t>La capture de l'éjection n'est pas arrivée (5 captures reçues : SYNC, lecteur rapide). Recopie le message de la barre d'état en bas ici, ou renvoie la capture.</t>
        </is>
      </c>
    </row>
    <row r="35" hidden="1">
      <c r="A35" s="18" t="n">
        <v>31</v>
      </c>
      <c r="B35" s="19" t="inlineStr">
        <is>
          <t>B. OFFLOAD</t>
        </is>
      </c>
      <c r="C35" s="18" t="inlineStr">
        <is>
          <t>21</t>
        </is>
      </c>
      <c r="D35" s="19" t="inlineStr">
        <is>
          <t>Explorateur : déplier le disque HERVE EDU (F:).</t>
        </is>
      </c>
      <c r="E35" s="19" t="inlineStr">
        <is>
          <t>Les dossiers FOUND.000 à FOUND.004 n'apparaissent plus.</t>
        </is>
      </c>
      <c r="F35" s="20" t="inlineStr">
        <is>
          <t>Oui</t>
        </is>
      </c>
      <c r="G35" s="20" t="inlineStr">
        <is>
          <t>OK</t>
        </is>
      </c>
      <c r="H35" s="21" t="n">
        <v>46321</v>
      </c>
      <c r="I35" s="22" t="inlineStr">
        <is>
          <t>RAS</t>
        </is>
      </c>
      <c r="J35" s="23" t="inlineStr">
        <is>
          <t>Nouveau test (correctifs du 24/10).</t>
        </is>
      </c>
    </row>
    <row r="36" ht="63.75" customHeight="1">
      <c r="A36" s="18" t="n">
        <v>32</v>
      </c>
      <c r="B36" s="19" t="inlineStr">
        <is>
          <t>D. PLAYER</t>
        </is>
      </c>
      <c r="C36" s="18" t="inlineStr">
        <is>
          <t>38</t>
        </is>
      </c>
      <c r="D36" s="19" t="inlineStr">
        <is>
          <t>PLAYER en mode AUDIO : cliquer SOLO puis MUTE sur une piste.</t>
        </is>
      </c>
      <c r="E36" s="19" t="inlineStr">
        <is>
          <t>SOLO en orange, MUTE en rouge quand ils sont actifs.</t>
        </is>
      </c>
      <c r="F36" s="20" t="inlineStr">
        <is>
          <t>Oui</t>
        </is>
      </c>
      <c r="G36" s="20" t="inlineStr">
        <is>
          <t>Partiel</t>
        </is>
      </c>
      <c r="H36" s="21" t="n">
        <v>46321</v>
      </c>
      <c r="I36" s="22" t="inlineStr">
        <is>
          <t>Ok pour les mise en couleur mais : le bouton MUTE doit être prioritaire sur le bouton SOLO, si une piste est en MUTE et en SOLO, alors elle est MUTE.
Il faut aussi ajouter un bouton SOLO pour chaque piste de la console du mode VIDEO.</t>
        </is>
      </c>
      <c r="J36" s="28" t="inlineStr">
        <is>
          <t>Corrigé : MUTE prime sur SOLO ; bouton S ajouté sur chaque piste en mode VIDEO. Voir test 38 (build du 27/10 (run 40517638115)).</t>
        </is>
      </c>
    </row>
    <row r="37">
      <c r="A37" s="18" t="n">
        <v>33</v>
      </c>
      <c r="B37" s="19" t="inlineStr">
        <is>
          <t>A. Installation et menus</t>
        </is>
      </c>
      <c r="C37" s="18" t="inlineStr">
        <is>
          <t>38</t>
        </is>
      </c>
      <c r="D37" s="19" t="inlineStr">
        <is>
          <t>Ouvrir un projet et regarder la barre du haut.</t>
        </is>
      </c>
      <c r="E37" s="19" t="inlineStr">
        <is>
          <t>Nom du projet au centre de la fenêtre.</t>
        </is>
      </c>
      <c r="F37" s="20" t="inlineStr">
        <is>
          <t>Oui</t>
        </is>
      </c>
      <c r="G37" s="20" t="inlineStr">
        <is>
          <t>OK</t>
        </is>
      </c>
      <c r="H37" s="21" t="n">
        <v>46321</v>
      </c>
      <c r="I37" s="22" t="inlineStr">
        <is>
          <t>RAS</t>
        </is>
      </c>
      <c r="J37" s="23" t="inlineStr">
        <is>
          <t>Nouveau test (correctifs du 24/10).</t>
        </is>
      </c>
    </row>
    <row r="38" ht="38.25" customHeight="1">
      <c r="A38" s="18" t="n">
        <v>34</v>
      </c>
      <c r="B38" s="19" t="inlineStr">
        <is>
          <t>C. MEDIA et second écran</t>
        </is>
      </c>
      <c r="C38" s="18" t="inlineStr">
        <is>
          <t>38</t>
        </is>
      </c>
      <c r="D38" s="19" t="inlineStr">
        <is>
          <t>MEDIA : modifier un champ, puis Entrée (clavier principal), puis un autre avec Entrée du pavé numérique. Regarder la barre Enregistrer et la colonne TC en mode AUDIO.</t>
        </is>
      </c>
      <c r="E38" s="19" t="inlineStr">
        <is>
          <t>Enregistré à chaque Entrée ; barre Enregistrer sur toute la largeur, séparée des champs ; TC affiché pour les WAV.</t>
        </is>
      </c>
      <c r="F38" s="20" t="inlineStr">
        <is>
          <t>Oui</t>
        </is>
      </c>
      <c r="G38" s="20" t="inlineStr">
        <is>
          <t>OK</t>
        </is>
      </c>
      <c r="H38" s="21" t="n">
        <v>46321</v>
      </c>
      <c r="I38" s="22" t="inlineStr">
        <is>
          <t>RAS</t>
        </is>
      </c>
      <c r="J38" s="23" t="inlineStr">
        <is>
          <t>Nouveau test (correctifs du 24/10).</t>
        </is>
      </c>
    </row>
    <row r="39" ht="25.5" customHeight="1">
      <c r="A39" s="18" t="n">
        <v>35</v>
      </c>
      <c r="B39" s="19" t="inlineStr">
        <is>
          <t>E. SYNC</t>
        </is>
      </c>
      <c r="C39" s="18" t="inlineStr">
        <is>
          <t>27</t>
        </is>
      </c>
      <c r="D39" s="19" t="inlineStr">
        <is>
          <t>SYNC : un rush vidéo avec LTC sur une piste et son témoin sur l'autre, avec son WAV. Méthode Automatique, Analyser.</t>
        </is>
      </c>
      <c r="E39" s="19" t="inlineStr">
        <is>
          <t>Colonne Méthode : LTC ; badge LTC à côté du timecode ; TC = celui du LTC (pas l'horloge de la Panasonic).</t>
        </is>
      </c>
      <c r="F39" s="20" t="inlineStr">
        <is>
          <t>Non</t>
        </is>
      </c>
      <c r="G39" s="20" t="n"/>
      <c r="H39" s="21" t="n"/>
      <c r="I39" s="22" t="n"/>
      <c r="J39" s="23" t="inlineStr">
        <is>
          <t>Nouveau test (correctifs du 24/10).</t>
        </is>
      </c>
    </row>
    <row r="40" ht="38.25" customHeight="1">
      <c r="A40" s="18" t="n">
        <v>36</v>
      </c>
      <c r="B40" s="19" t="inlineStr">
        <is>
          <t>E. SYNC</t>
        </is>
      </c>
      <c r="C40" s="18" t="inlineStr">
        <is>
          <t>27</t>
        </is>
      </c>
      <c r="D40" s="19" t="inlineStr">
        <is>
          <t>SYNC : tous les rushes Panasonic sans LTC et tous les sons (tests compris), méthode Automatique.</t>
        </is>
      </c>
      <c r="E40" s="19" t="inlineStr">
        <is>
          <t>Bon son pour chaque plan ; remarque « timecode sans rapport avec le son : son retrouvé par la forme d'onde » ; les sons de test restent non utilisés (mode AUDIO).</t>
        </is>
      </c>
      <c r="F40" s="20" t="inlineStr">
        <is>
          <t>Non</t>
        </is>
      </c>
      <c r="G40" s="20" t="n"/>
      <c r="H40" s="21" t="n"/>
      <c r="I40" s="22" t="n"/>
      <c r="J40" s="23" t="inlineStr">
        <is>
          <t>Nouveau test (correctifs du 24/10).</t>
        </is>
      </c>
    </row>
    <row r="41" ht="38.25" customHeight="1">
      <c r="A41" s="18" t="n">
        <v>37</v>
      </c>
      <c r="B41" s="19" t="inlineStr">
        <is>
          <t>E. SYNC</t>
        </is>
      </c>
      <c r="C41" s="18" t="inlineStr">
        <is>
          <t>27</t>
        </is>
      </c>
      <c r="D41" s="19" t="inlineStr">
        <is>
          <t>SYNC : créer les fichiers synchronisés (option « une piste mono par canal » cochée par défaut), puis les ouvrir dans Premiere.</t>
        </is>
      </c>
      <c r="E41" s="19" t="inlineStr">
        <is>
          <t>Image présente ; 6 pistes mono de l'enregistreur + pistes caméra ; son calé sur le clap.</t>
        </is>
      </c>
      <c r="F41" s="20" t="inlineStr">
        <is>
          <t>Non</t>
        </is>
      </c>
      <c r="G41" s="20" t="n"/>
      <c r="H41" s="21" t="n"/>
      <c r="I41" s="22" t="n"/>
      <c r="J41" s="23" t="inlineStr">
        <is>
          <t>Nouveau test (correctifs du 24/10).</t>
        </is>
      </c>
    </row>
    <row r="42">
      <c r="A42" s="29" t="n">
        <v>38</v>
      </c>
      <c r="B42" s="30" t="inlineStr">
        <is>
          <t>D. PLAYER</t>
        </is>
      </c>
      <c r="C42" s="29" t="inlineStr">
        <is>
          <t>38</t>
        </is>
      </c>
      <c r="D42" s="30" t="inlineStr">
        <is>
          <t>PLAYER : sur une piste, cliquer S puis M (mode AUDIO et pistes d'une vidéo en mode VIDEO).</t>
        </is>
      </c>
      <c r="E42" s="30" t="inlineStr">
        <is>
          <t>S orange, M rouge. Piste en S et en M : coupée. Bouton S présent sur chaque piste des vidéos.</t>
        </is>
      </c>
      <c r="F42" s="31" t="inlineStr">
        <is>
          <t>Non</t>
        </is>
      </c>
      <c r="G42" s="31" t="inlineStr"/>
      <c r="H42" s="32" t="n"/>
      <c r="I42" s="33" t="inlineStr"/>
      <c r="J42" s="34" t="inlineStr">
        <is>
          <t>Nouveau test (correctifs du 26/10).</t>
        </is>
      </c>
    </row>
    <row r="43">
      <c r="A43" s="29" t="n">
        <v>39</v>
      </c>
      <c r="B43" s="30" t="inlineStr">
        <is>
          <t>A. Installation et menus</t>
        </is>
      </c>
      <c r="C43" s="29" t="inlineStr">
        <is>
          <t>38</t>
        </is>
      </c>
      <c r="D43" s="30" t="inlineStr">
        <is>
          <t>Lancer VERIFLOW pour la première fois après installation, puis le réduire en fenêtre, le fermer et le rouvrir.</t>
        </is>
      </c>
      <c r="E43" s="30" t="inlineStr">
        <is>
          <t>Premier lancement : fenêtre agrandie à l'écran. Ensuite, VERIFLOW se rouvre comme tu l'as laissé (fenêtre ou agrandi).</t>
        </is>
      </c>
      <c r="F43" s="31" t="inlineStr">
        <is>
          <t>Non</t>
        </is>
      </c>
      <c r="G43" s="31" t="inlineStr"/>
      <c r="H43" s="32" t="n"/>
      <c r="I43" s="33" t="inlineStr"/>
      <c r="J43" s="34" t="inlineStr">
        <is>
          <t>Nouveau test (correctifs du 26/10).</t>
        </is>
      </c>
    </row>
    <row r="44">
      <c r="A44" s="29" t="n">
        <v>40</v>
      </c>
      <c r="B44" s="30" t="inlineStr">
        <is>
          <t>C. OFFLOAD</t>
        </is>
      </c>
      <c r="C44" s="29" t="inlineStr">
        <is>
          <t>39</t>
        </is>
      </c>
      <c r="D44" s="30" t="inlineStr">
        <is>
          <t>OFFLOAD dans un projet, modèle « {jour}/{carte} », jour J01 : copier une carte SD. Tourner quelques plans de plus sur la même carte sans la formater, puis relancer l'offload avec le jour J02.</t>
        </is>
      </c>
      <c r="E44" s="30" t="inlineStr">
        <is>
          <t>Avant copie : message indiquant que des rushes de cette carte sont déjà copiés dans J01, avec « Reprendre dans ce dossier ». En le choisissant puis « Compléter la copie » : seuls les nouveaux plans sont copiés, les autres revérifiés. « Effacer et tout recopier » recopie toute la carte.</t>
        </is>
      </c>
      <c r="F44" s="31" t="inlineStr">
        <is>
          <t>Non</t>
        </is>
      </c>
      <c r="G44" s="31" t="n"/>
      <c r="H44" s="32" t="n"/>
      <c r="I44" s="33" t="n"/>
      <c r="J44" s="34" t="inlineStr">
        <is>
          <t>Nouveau test (PR 39, 31/10).</t>
        </is>
      </c>
    </row>
    <row r="45">
      <c r="A45" s="29" t="n">
        <v>41</v>
      </c>
      <c r="B45" s="30" t="inlineStr">
        <is>
          <t>C. OFFLOAD</t>
        </is>
      </c>
      <c r="C45" s="29" t="inlineStr">
        <is>
          <t>39</t>
        </is>
      </c>
      <c r="D45" s="30" t="inlineStr">
        <is>
          <t>PC portable sur batterie, mise en veille réglée à 1 ou 2 minutes : lancer un offload qui dure plus longtemps, sans toucher au PC.</t>
        </is>
      </c>
      <c r="E45" s="30" t="inlineStr">
        <is>
          <t>Le PC ne se met pas en veille pendant la copie (l'écran peut s'éteindre). Une fois la copie finie, la mise en veille revient normalement.</t>
        </is>
      </c>
      <c r="F45" s="31" t="inlineStr">
        <is>
          <t>Non</t>
        </is>
      </c>
      <c r="G45" s="31" t="n"/>
      <c r="H45" s="32" t="n"/>
      <c r="I45" s="33" t="n"/>
      <c r="J45" s="34" t="inlineStr">
        <is>
          <t>Nouveau test (PR 39, 31/10).</t>
        </is>
      </c>
    </row>
    <row r="46">
      <c r="A46" s="29" t="n">
        <v>42</v>
      </c>
      <c r="B46" s="30" t="inlineStr">
        <is>
          <t>C. OFFLOAD</t>
        </is>
      </c>
      <c r="C46" s="29" t="inlineStr">
        <is>
          <t>39</t>
        </is>
      </c>
      <c r="D46" s="30" t="inlineStr">
        <is>
          <t>OFFLOAD d'une carte d'au moins 20 Go avec XXH128 seul, puis la même carte avec XXH128 + SHA-256. Noter le débit affiché et la durée totale.</t>
        </is>
      </c>
      <c r="E46" s="30" t="inlineStr">
        <is>
          <t>Écart de durée faible entre les deux (la SHA-256 se calcule en parallèle de la lecture). Noter les deux durées dans Commentaires.</t>
        </is>
      </c>
      <c r="F46" s="31" t="inlineStr">
        <is>
          <t>Non</t>
        </is>
      </c>
      <c r="G46" s="31" t="n"/>
      <c r="H46" s="32" t="n"/>
      <c r="I46" s="33" t="n"/>
      <c r="J46" s="34" t="inlineStr">
        <is>
          <t>Nouveau test (PR 39, 31/10).</t>
        </is>
      </c>
    </row>
    <row r="47">
      <c r="A47" s="29" t="n">
        <v>43</v>
      </c>
      <c r="B47" s="30" t="inlineStr">
        <is>
          <t>C. OFFLOAD</t>
        </is>
      </c>
      <c r="C47" s="29" t="inlineStr">
        <is>
          <t>41</t>
        </is>
      </c>
      <c r="D47" s="30" t="inlineStr">
        <is>
          <t>PC portable sur batterie (environ 50 %), grosse carte (copie de plus de 10 min) : préparer l'offload jusqu'aux contrôles avant copie.</t>
        </is>
      </c>
      <c r="E47" s="30" t="inlineStr">
        <is>
          <t>Avertissement « Portable sur batterie (x %) et copie estimée à N min » dans les contrôles, puis à nouveau dans la confirmation de Lancer ; on peut continuer.</t>
        </is>
      </c>
      <c r="F47" s="31" t="inlineStr">
        <is>
          <t>Non</t>
        </is>
      </c>
      <c r="G47" s="31" t="n"/>
      <c r="H47" s="32" t="n"/>
      <c r="I47" s="33" t="n"/>
      <c r="J47" s="34" t="inlineStr">
        <is>
          <t>Nouveau test (PR 41, 31/10).</t>
        </is>
      </c>
    </row>
    <row r="48">
      <c r="A48" s="29" t="n">
        <v>44</v>
      </c>
      <c r="B48" s="30" t="inlineStr">
        <is>
          <t>C. OFFLOAD</t>
        </is>
      </c>
      <c r="C48" s="29" t="inlineStr">
        <is>
          <t>41</t>
        </is>
      </c>
      <c r="D48" s="30" t="inlineStr">
        <is>
          <t>Même préparation, PC branché sur secteur.</t>
        </is>
      </c>
      <c r="E48" s="30" t="inlineStr">
        <is>
          <t>Aucun avertissement batterie.</t>
        </is>
      </c>
      <c r="F48" s="31" t="inlineStr">
        <is>
          <t>Non</t>
        </is>
      </c>
      <c r="G48" s="31" t="n"/>
      <c r="H48" s="32" t="n"/>
      <c r="I48" s="33" t="n"/>
      <c r="J48" s="34" t="inlineStr">
        <is>
          <t>Nouveau test (PR 41, 31/10).</t>
        </is>
      </c>
    </row>
    <row r="49">
      <c r="A49" s="29" t="n">
        <v>45</v>
      </c>
      <c r="B49" s="30" t="inlineStr">
        <is>
          <t>C. OFFLOAD</t>
        </is>
      </c>
      <c r="C49" s="29" t="inlineStr">
        <is>
          <t>41</t>
        </is>
      </c>
      <c r="D49" s="30" t="inlineStr">
        <is>
          <t>Préparer l'offload sur secteur, débrancher le chargeur, puis cliquer sur Lancer.</t>
        </is>
      </c>
      <c r="E49" s="30" t="inlineStr">
        <is>
          <t>La confirmation affiche l'avertissement batterie (réévalué au clic).</t>
        </is>
      </c>
      <c r="F49" s="31" t="inlineStr">
        <is>
          <t>Non</t>
        </is>
      </c>
      <c r="G49" s="31" t="n"/>
      <c r="H49" s="32" t="n"/>
      <c r="I49" s="33" t="n"/>
      <c r="J49" s="34" t="inlineStr">
        <is>
          <t>Nouveau test (PR 41, 31/10).</t>
        </is>
      </c>
    </row>
    <row r="50">
      <c r="A50" s="29" t="n">
        <v>46</v>
      </c>
      <c r="B50" s="30" t="inlineStr">
        <is>
          <t>C. OFFLOAD</t>
        </is>
      </c>
      <c r="C50" s="29" t="inlineStr">
        <is>
          <t>41</t>
        </is>
      </c>
      <c r="D50" s="30" t="inlineStr">
        <is>
          <t>Lancer une copie longue sur secteur, puis débrancher le chargeur pendant la copie.</t>
        </is>
      </c>
      <c r="E50" s="30" t="inlineStr">
        <is>
          <t>Bandeau « passé sur batterie pendant la copie » en moins d'une minute ; bouton Fermer ; le bandeau disparaît si on rebranche.</t>
        </is>
      </c>
      <c r="F50" s="31" t="inlineStr">
        <is>
          <t>Non</t>
        </is>
      </c>
      <c r="G50" s="31" t="n"/>
      <c r="H50" s="32" t="n"/>
      <c r="I50" s="33" t="n"/>
      <c r="J50" s="34" t="inlineStr">
        <is>
          <t>Nouveau test (PR 41, 31/10).</t>
        </is>
      </c>
    </row>
    <row r="51">
      <c r="A51" s="29" t="n">
        <v>47</v>
      </c>
      <c r="B51" s="30" t="inlineStr">
        <is>
          <t>C. OFFLOAD</t>
        </is>
      </c>
      <c r="C51" s="29" t="inlineStr">
        <is>
          <t>41</t>
        </is>
      </c>
      <c r="D51" s="30" t="inlineStr">
        <is>
          <t>Lancer une copie longue directement sur batterie.</t>
        </is>
      </c>
      <c r="E51" s="30" t="inlineStr">
        <is>
          <t>Bandeau « Copie en cours sur batterie, fin estimée dans N min » au plus tard une minute après le début, une seule fois.</t>
        </is>
      </c>
      <c r="F51" s="31" t="inlineStr">
        <is>
          <t>Non</t>
        </is>
      </c>
      <c r="G51" s="31" t="n"/>
      <c r="H51" s="32" t="n"/>
      <c r="I51" s="33" t="n"/>
      <c r="J51" s="34" t="inlineStr">
        <is>
          <t>Nouveau test (PR 41, 31/10).</t>
        </is>
      </c>
    </row>
    <row r="52">
      <c r="A52" s="29" t="n">
        <v>48</v>
      </c>
      <c r="B52" s="30" t="inlineStr">
        <is>
          <t>C. OFFLOAD</t>
        </is>
      </c>
      <c r="C52" s="29" t="inlineStr">
        <is>
          <t>41</t>
        </is>
      </c>
      <c r="D52" s="30" t="inlineStr">
        <is>
          <t>Batterie sous 20 %, petite carte (copie courte).</t>
        </is>
      </c>
      <c r="E52" s="30" t="inlineStr">
        <is>
          <t>Avertissement « Batterie faible (x %) » avant la copie.</t>
        </is>
      </c>
      <c r="F52" s="31" t="inlineStr">
        <is>
          <t>Non</t>
        </is>
      </c>
      <c r="G52" s="31" t="n"/>
      <c r="H52" s="32" t="n"/>
      <c r="I52" s="33" t="n"/>
      <c r="J52" s="34" t="inlineStr">
        <is>
          <t>Nouveau test (PR 41, 31/10).</t>
        </is>
      </c>
    </row>
    <row r="53">
      <c r="A53" s="29" t="n">
        <v>49</v>
      </c>
      <c r="B53" s="30" t="inlineStr">
        <is>
          <t>C. OFFLOAD</t>
        </is>
      </c>
      <c r="C53" s="29" t="inlineStr">
        <is>
          <t>41</t>
        </is>
      </c>
      <c r="D53" s="30" t="inlineStr">
        <is>
          <t>PC fixe (ou portable sans batterie) : préparer un offload.</t>
        </is>
      </c>
      <c r="E53" s="30" t="inlineStr">
        <is>
          <t>Aucun avertissement ; contrôles avant copie aussi rapides qu'avant.</t>
        </is>
      </c>
      <c r="F53" s="31" t="inlineStr">
        <is>
          <t>Non</t>
        </is>
      </c>
      <c r="G53" s="31" t="n"/>
      <c r="H53" s="32" t="n"/>
      <c r="I53" s="33" t="n"/>
      <c r="J53" s="34" t="inlineStr">
        <is>
          <t>Nouveau test (PR 41, 31/10).</t>
        </is>
      </c>
    </row>
    <row r="54">
      <c r="A54" s="29" t="n">
        <v>50</v>
      </c>
      <c r="B54" s="30" t="inlineStr">
        <is>
          <t>C. OFFLOAD</t>
        </is>
      </c>
      <c r="C54" s="29" t="inlineStr">
        <is>
          <t>41</t>
        </is>
      </c>
      <c r="D54" s="30" t="inlineStr">
        <is>
          <t>Interface en anglais : refaire le test 43.</t>
        </is>
      </c>
      <c r="E54" s="30" t="inlineStr">
        <is>
          <t>Texte anglais lisible, pourcentage écrit « 50% », aucun {percent} ni {minutes} visible.</t>
        </is>
      </c>
      <c r="F54" s="31" t="inlineStr">
        <is>
          <t>Non</t>
        </is>
      </c>
      <c r="G54" s="31" t="n"/>
      <c r="H54" s="32" t="n"/>
      <c r="I54" s="33" t="n"/>
      <c r="J54" s="34" t="inlineStr">
        <is>
          <t>Nouveau test (PR 41, 31/10).</t>
        </is>
      </c>
    </row>
  </sheetData>
  <autoFilter ref="A4:J54">
    <filterColumn colId="6" hiddenButton="0" showButton="1">
      <filters blank="1">
        <filter val="KO"/>
        <filter val="Partiel"/>
      </filters>
    </filterColumn>
  </autoFilter>
  <conditionalFormatting sqref="G5:G54">
    <cfRule type="cellIs" priority="1" operator="equal" dxfId="6">
      <formula>"OK"</formula>
    </cfRule>
    <cfRule type="cellIs" priority="2" operator="equal" dxfId="7">
      <formula>"KO"</formula>
    </cfRule>
    <cfRule type="cellIs" priority="3" operator="equal" dxfId="8">
      <formula>"Partiel"</formula>
    </cfRule>
    <cfRule type="cellIs" priority="4" operator="equal" dxfId="9">
      <formula>"Non testable"</formula>
    </cfRule>
  </conditionalFormatting>
  <dataValidations count="3">
    <dataValidation sqref="F5:F54" showDropDown="0" showInputMessage="0" showErrorMessage="0" allowBlank="1" type="list">
      <formula1>"Oui,Non"</formula1>
    </dataValidation>
    <dataValidation sqref="G5:G54" showDropDown="0" showInputMessage="0" showErrorMessage="0" allowBlank="1" type="list">
      <formula1>"OK,KO,Partiel,Non testable"</formula1>
    </dataValidation>
    <dataValidation sqref="H5:H54" showDropDown="0" showInputMessage="0" showErrorMessage="0" allowBlank="1" type="date" operator="greaterThan">
      <formula1>DATE(2026,1,1)</formula1>
    </dataValidation>
  </dataValidations>
  <pageMargins left="0.75" right="0.75" top="1" bottom="1" header="0.5" footer="0.5"/>
  <pageSetup orientation="landscape" fitToHeight="0"/>
</worksheet>
</file>

<file path=xl/worksheets/sheet2.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10" defaultColWidth="9.140625" defaultRowHeight="15"/>
  <cols>
    <col width="16" customWidth="1" min="1" max="1"/>
    <col width="8" customWidth="1" min="2" max="2"/>
    <col width="11" customWidth="1" min="3" max="3"/>
    <col width="7" customWidth="1" min="4" max="5"/>
    <col width="9" customWidth="1" min="6" max="6"/>
    <col width="13" customWidth="1" min="7" max="8"/>
  </cols>
  <sheetData>
    <row r="1" ht="16.5" customHeight="1">
      <c r="A1" s="9" t="inlineStr">
        <is>
          <t>Synthèse (calculée automatiquement depuis l'onglet Tests)</t>
        </is>
      </c>
    </row>
    <row r="3">
      <c r="A3" s="24" t="inlineStr">
        <is>
          <t>PR</t>
        </is>
      </c>
      <c r="B3" s="24" t="inlineStr">
        <is>
          <t>Tests</t>
        </is>
      </c>
      <c r="C3" s="24" t="inlineStr">
        <is>
          <t>Effectués</t>
        </is>
      </c>
      <c r="D3" s="24" t="inlineStr">
        <is>
          <t>OK</t>
        </is>
      </c>
      <c r="E3" s="24" t="inlineStr">
        <is>
          <t>KO</t>
        </is>
      </c>
      <c r="F3" s="24" t="inlineStr">
        <is>
          <t>Partiel</t>
        </is>
      </c>
      <c r="G3" s="24" t="inlineStr">
        <is>
          <t>Non testable</t>
        </is>
      </c>
      <c r="H3" s="24" t="inlineStr">
        <is>
          <t>Statut</t>
        </is>
      </c>
    </row>
    <row r="4">
      <c r="A4" s="25" t="inlineStr">
        <is>
          <t>17</t>
        </is>
      </c>
      <c r="B4" s="25">
        <f>COUNTIF(Tests!$C$5:$C$54,"*"&amp;A4&amp;"*")</f>
        <v/>
      </c>
      <c r="C4" s="25">
        <f>COUNTIFS(Tests!$C$5:$C$54,"*"&amp;A4&amp;"*",Tests!$F$5:$F$54,"Oui")</f>
        <v/>
      </c>
      <c r="D4" s="25">
        <f>COUNTIFS(Tests!$C$5:$C$54,"*"&amp;A4&amp;"*",Tests!$G$5:$G$54,"OK")</f>
        <v/>
      </c>
      <c r="E4" s="25">
        <f>COUNTIFS(Tests!$C$5:$C$54,"*"&amp;A4&amp;"*",Tests!$G$5:$G$54,"KO")</f>
        <v/>
      </c>
      <c r="F4" s="25">
        <f>COUNTIFS(Tests!$C$5:$C$54,"*"&amp;A4&amp;"*",Tests!$G$5:$G$54,"Partiel")</f>
        <v/>
      </c>
      <c r="G4" s="25">
        <f>COUNTIFS(Tests!$C$5:$C$54,"*"&amp;A4&amp;"*",Tests!$G$5:$G$54,"Non testable")</f>
        <v/>
      </c>
      <c r="H4" s="25">
        <f>IF(E4&gt;0,"À corriger",IF(D4+G4=B4,"Validée",IF(C4=0,"À tester","En cours")))</f>
        <v/>
      </c>
    </row>
    <row r="5">
      <c r="A5" s="25" t="inlineStr">
        <is>
          <t>20</t>
        </is>
      </c>
      <c r="B5" s="25">
        <f>COUNTIF(Tests!$C$5:$C$54,"*"&amp;A5&amp;"*")</f>
        <v/>
      </c>
      <c r="C5" s="25">
        <f>COUNTIFS(Tests!$C$5:$C$54,"*"&amp;A5&amp;"*",Tests!$F$5:$F$54,"Oui")</f>
        <v/>
      </c>
      <c r="D5" s="25">
        <f>COUNTIFS(Tests!$C$5:$C$54,"*"&amp;A5&amp;"*",Tests!$G$5:$G$54,"OK")</f>
        <v/>
      </c>
      <c r="E5" s="25">
        <f>COUNTIFS(Tests!$C$5:$C$54,"*"&amp;A5&amp;"*",Tests!$G$5:$G$54,"KO")</f>
        <v/>
      </c>
      <c r="F5" s="25">
        <f>COUNTIFS(Tests!$C$5:$C$54,"*"&amp;A5&amp;"*",Tests!$G$5:$G$54,"Partiel")</f>
        <v/>
      </c>
      <c r="G5" s="25">
        <f>COUNTIFS(Tests!$C$5:$C$54,"*"&amp;A5&amp;"*",Tests!$G$5:$G$54,"Non testable")</f>
        <v/>
      </c>
      <c r="H5" s="25">
        <f>IF(E5&gt;0,"À corriger",IF(D5+G5=B5,"Validée",IF(C5=0,"À tester","En cours")))</f>
        <v/>
      </c>
    </row>
    <row r="6">
      <c r="A6" s="25" t="inlineStr">
        <is>
          <t>21</t>
        </is>
      </c>
      <c r="B6" s="25">
        <f>COUNTIF(Tests!$C$5:$C$54,"*"&amp;A6&amp;"*")</f>
        <v/>
      </c>
      <c r="C6" s="25">
        <f>COUNTIFS(Tests!$C$5:$C$54,"*"&amp;A6&amp;"*",Tests!$F$5:$F$54,"Oui")</f>
        <v/>
      </c>
      <c r="D6" s="25">
        <f>COUNTIFS(Tests!$C$5:$C$54,"*"&amp;A6&amp;"*",Tests!$G$5:$G$54,"OK")</f>
        <v/>
      </c>
      <c r="E6" s="25">
        <f>COUNTIFS(Tests!$C$5:$C$54,"*"&amp;A6&amp;"*",Tests!$G$5:$G$54,"KO")</f>
        <v/>
      </c>
      <c r="F6" s="25">
        <f>COUNTIFS(Tests!$C$5:$C$54,"*"&amp;A6&amp;"*",Tests!$G$5:$G$54,"Partiel")</f>
        <v/>
      </c>
      <c r="G6" s="25">
        <f>COUNTIFS(Tests!$C$5:$C$54,"*"&amp;A6&amp;"*",Tests!$G$5:$G$54,"Non testable")</f>
        <v/>
      </c>
      <c r="H6" s="25">
        <f>IF(E6&gt;0,"À corriger",IF(D6+G6=B6,"Validée",IF(C6=0,"À tester","En cours")))</f>
        <v/>
      </c>
    </row>
    <row r="7">
      <c r="A7" s="25" t="inlineStr">
        <is>
          <t>23</t>
        </is>
      </c>
      <c r="B7" s="25">
        <f>COUNTIF(Tests!$C$5:$C$54,"*"&amp;A7&amp;"*")</f>
        <v/>
      </c>
      <c r="C7" s="25">
        <f>COUNTIFS(Tests!$C$5:$C$54,"*"&amp;A7&amp;"*",Tests!$F$5:$F$54,"Oui")</f>
        <v/>
      </c>
      <c r="D7" s="25">
        <f>COUNTIFS(Tests!$C$5:$C$54,"*"&amp;A7&amp;"*",Tests!$G$5:$G$54,"OK")</f>
        <v/>
      </c>
      <c r="E7" s="25">
        <f>COUNTIFS(Tests!$C$5:$C$54,"*"&amp;A7&amp;"*",Tests!$G$5:$G$54,"KO")</f>
        <v/>
      </c>
      <c r="F7" s="25">
        <f>COUNTIFS(Tests!$C$5:$C$54,"*"&amp;A7&amp;"*",Tests!$G$5:$G$54,"Partiel")</f>
        <v/>
      </c>
      <c r="G7" s="25">
        <f>COUNTIFS(Tests!$C$5:$C$54,"*"&amp;A7&amp;"*",Tests!$G$5:$G$54,"Non testable")</f>
        <v/>
      </c>
      <c r="H7" s="25">
        <f>IF(E7&gt;0,"À corriger",IF(D7+G7=B7,"Validée",IF(C7=0,"À tester","En cours")))</f>
        <v/>
      </c>
    </row>
    <row r="8">
      <c r="A8" s="25" t="inlineStr">
        <is>
          <t>24</t>
        </is>
      </c>
      <c r="B8" s="25">
        <f>COUNTIF(Tests!$C$5:$C$54,"*"&amp;A8&amp;"*")</f>
        <v/>
      </c>
      <c r="C8" s="25">
        <f>COUNTIFS(Tests!$C$5:$C$54,"*"&amp;A8&amp;"*",Tests!$F$5:$F$54,"Oui")</f>
        <v/>
      </c>
      <c r="D8" s="25">
        <f>COUNTIFS(Tests!$C$5:$C$54,"*"&amp;A8&amp;"*",Tests!$G$5:$G$54,"OK")</f>
        <v/>
      </c>
      <c r="E8" s="25">
        <f>COUNTIFS(Tests!$C$5:$C$54,"*"&amp;A8&amp;"*",Tests!$G$5:$G$54,"KO")</f>
        <v/>
      </c>
      <c r="F8" s="25">
        <f>COUNTIFS(Tests!$C$5:$C$54,"*"&amp;A8&amp;"*",Tests!$G$5:$G$54,"Partiel")</f>
        <v/>
      </c>
      <c r="G8" s="25">
        <f>COUNTIFS(Tests!$C$5:$C$54,"*"&amp;A8&amp;"*",Tests!$G$5:$G$54,"Non testable")</f>
        <v/>
      </c>
      <c r="H8" s="25">
        <f>IF(E8&gt;0,"À corriger",IF(D8+G8=B8,"Validée",IF(C8=0,"À tester","En cours")))</f>
        <v/>
      </c>
    </row>
    <row r="9">
      <c r="A9" s="25" t="inlineStr">
        <is>
          <t>25</t>
        </is>
      </c>
      <c r="B9" s="25">
        <f>COUNTIF(Tests!$C$5:$C$54,"*"&amp;A9&amp;"*")</f>
        <v/>
      </c>
      <c r="C9" s="25">
        <f>COUNTIFS(Tests!$C$5:$C$54,"*"&amp;A9&amp;"*",Tests!$F$5:$F$54,"Oui")</f>
        <v/>
      </c>
      <c r="D9" s="25">
        <f>COUNTIFS(Tests!$C$5:$C$54,"*"&amp;A9&amp;"*",Tests!$G$5:$G$54,"OK")</f>
        <v/>
      </c>
      <c r="E9" s="25">
        <f>COUNTIFS(Tests!$C$5:$C$54,"*"&amp;A9&amp;"*",Tests!$G$5:$G$54,"KO")</f>
        <v/>
      </c>
      <c r="F9" s="25">
        <f>COUNTIFS(Tests!$C$5:$C$54,"*"&amp;A9&amp;"*",Tests!$G$5:$G$54,"Partiel")</f>
        <v/>
      </c>
      <c r="G9" s="25">
        <f>COUNTIFS(Tests!$C$5:$C$54,"*"&amp;A9&amp;"*",Tests!$G$5:$G$54,"Non testable")</f>
        <v/>
      </c>
      <c r="H9" s="25">
        <f>IF(E9&gt;0,"À corriger",IF(D9+G9=B9,"Validée",IF(C9=0,"À tester","En cours")))</f>
        <v/>
      </c>
    </row>
    <row r="10">
      <c r="A10" s="25" t="inlineStr">
        <is>
          <t>26</t>
        </is>
      </c>
      <c r="B10" s="25">
        <f>COUNTIF(Tests!$C$5:$C$54,"*"&amp;A10&amp;"*")</f>
        <v/>
      </c>
      <c r="C10" s="25">
        <f>COUNTIFS(Tests!$C$5:$C$54,"*"&amp;A10&amp;"*",Tests!$F$5:$F$54,"Oui")</f>
        <v/>
      </c>
      <c r="D10" s="25">
        <f>COUNTIFS(Tests!$C$5:$C$54,"*"&amp;A10&amp;"*",Tests!$G$5:$G$54,"OK")</f>
        <v/>
      </c>
      <c r="E10" s="25">
        <f>COUNTIFS(Tests!$C$5:$C$54,"*"&amp;A10&amp;"*",Tests!$G$5:$G$54,"KO")</f>
        <v/>
      </c>
      <c r="F10" s="25">
        <f>COUNTIFS(Tests!$C$5:$C$54,"*"&amp;A10&amp;"*",Tests!$G$5:$G$54,"Partiel")</f>
        <v/>
      </c>
      <c r="G10" s="25">
        <f>COUNTIFS(Tests!$C$5:$C$54,"*"&amp;A10&amp;"*",Tests!$G$5:$G$54,"Non testable")</f>
        <v/>
      </c>
      <c r="H10" s="25">
        <f>IF(E10&gt;0,"À corriger",IF(D10+G10=B10,"Validée",IF(C10=0,"À tester","En cours")))</f>
        <v/>
      </c>
    </row>
    <row r="11">
      <c r="A11" s="25" t="inlineStr">
        <is>
          <t>27</t>
        </is>
      </c>
      <c r="B11" s="25">
        <f>COUNTIF(Tests!$C$5:$C$54,"*"&amp;A11&amp;"*")</f>
        <v/>
      </c>
      <c r="C11" s="25">
        <f>COUNTIFS(Tests!$C$5:$C$54,"*"&amp;A11&amp;"*",Tests!$F$5:$F$54,"Oui")</f>
        <v/>
      </c>
      <c r="D11" s="25">
        <f>COUNTIFS(Tests!$C$5:$C$54,"*"&amp;A11&amp;"*",Tests!$G$5:$G$54,"OK")</f>
        <v/>
      </c>
      <c r="E11" s="25">
        <f>COUNTIFS(Tests!$C$5:$C$54,"*"&amp;A11&amp;"*",Tests!$G$5:$G$54,"KO")</f>
        <v/>
      </c>
      <c r="F11" s="25">
        <f>COUNTIFS(Tests!$C$5:$C$54,"*"&amp;A11&amp;"*",Tests!$G$5:$G$54,"Partiel")</f>
        <v/>
      </c>
      <c r="G11" s="25">
        <f>COUNTIFS(Tests!$C$5:$C$54,"*"&amp;A11&amp;"*",Tests!$G$5:$G$54,"Non testable")</f>
        <v/>
      </c>
      <c r="H11" s="25">
        <f>IF(E11&gt;0,"À corriger",IF(D11+G11=B11,"Validée",IF(C11=0,"À tester","En cours")))</f>
        <v/>
      </c>
    </row>
    <row r="12">
      <c r="A12" s="25" t="inlineStr">
        <is>
          <t>28</t>
        </is>
      </c>
      <c r="B12" s="25">
        <f>COUNTIF(Tests!$C$5:$C$54,"*"&amp;A12&amp;"*")</f>
        <v/>
      </c>
      <c r="C12" s="25">
        <f>COUNTIFS(Tests!$C$5:$C$54,"*"&amp;A12&amp;"*",Tests!$F$5:$F$54,"Oui")</f>
        <v/>
      </c>
      <c r="D12" s="25">
        <f>COUNTIFS(Tests!$C$5:$C$54,"*"&amp;A12&amp;"*",Tests!$G$5:$G$54,"OK")</f>
        <v/>
      </c>
      <c r="E12" s="25">
        <f>COUNTIFS(Tests!$C$5:$C$54,"*"&amp;A12&amp;"*",Tests!$G$5:$G$54,"KO")</f>
        <v/>
      </c>
      <c r="F12" s="25">
        <f>COUNTIFS(Tests!$C$5:$C$54,"*"&amp;A12&amp;"*",Tests!$G$5:$G$54,"Partiel")</f>
        <v/>
      </c>
      <c r="G12" s="25">
        <f>COUNTIFS(Tests!$C$5:$C$54,"*"&amp;A12&amp;"*",Tests!$G$5:$G$54,"Non testable")</f>
        <v/>
      </c>
      <c r="H12" s="25">
        <f>IF(E12&gt;0,"À corriger",IF(D12+G12=B12,"Validée",IF(C12=0,"À tester","En cours")))</f>
        <v/>
      </c>
    </row>
    <row r="13">
      <c r="A13" s="25" t="inlineStr">
        <is>
          <t>29</t>
        </is>
      </c>
      <c r="B13" s="25">
        <f>COUNTIF(Tests!$C$5:$C$54,"*"&amp;A13&amp;"*")</f>
        <v/>
      </c>
      <c r="C13" s="25">
        <f>COUNTIFS(Tests!$C$5:$C$54,"*"&amp;A13&amp;"*",Tests!$F$5:$F$54,"Oui")</f>
        <v/>
      </c>
      <c r="D13" s="25">
        <f>COUNTIFS(Tests!$C$5:$C$54,"*"&amp;A13&amp;"*",Tests!$G$5:$G$54,"OK")</f>
        <v/>
      </c>
      <c r="E13" s="25">
        <f>COUNTIFS(Tests!$C$5:$C$54,"*"&amp;A13&amp;"*",Tests!$G$5:$G$54,"KO")</f>
        <v/>
      </c>
      <c r="F13" s="25">
        <f>COUNTIFS(Tests!$C$5:$C$54,"*"&amp;A13&amp;"*",Tests!$G$5:$G$54,"Partiel")</f>
        <v/>
      </c>
      <c r="G13" s="25">
        <f>COUNTIFS(Tests!$C$5:$C$54,"*"&amp;A13&amp;"*",Tests!$G$5:$G$54,"Non testable")</f>
        <v/>
      </c>
      <c r="H13" s="25">
        <f>IF(E13&gt;0,"À corriger",IF(D13+G13=B13,"Validée",IF(C13=0,"À tester","En cours")))</f>
        <v/>
      </c>
    </row>
    <row r="14">
      <c r="A14" s="25" t="inlineStr">
        <is>
          <t>30</t>
        </is>
      </c>
      <c r="B14" s="25">
        <f>COUNTIF(Tests!$C$5:$C$54,"*"&amp;A14&amp;"*")</f>
        <v/>
      </c>
      <c r="C14" s="25">
        <f>COUNTIFS(Tests!$C$5:$C$54,"*"&amp;A14&amp;"*",Tests!$F$5:$F$54,"Oui")</f>
        <v/>
      </c>
      <c r="D14" s="25">
        <f>COUNTIFS(Tests!$C$5:$C$54,"*"&amp;A14&amp;"*",Tests!$G$5:$G$54,"OK")</f>
        <v/>
      </c>
      <c r="E14" s="25">
        <f>COUNTIFS(Tests!$C$5:$C$54,"*"&amp;A14&amp;"*",Tests!$G$5:$G$54,"KO")</f>
        <v/>
      </c>
      <c r="F14" s="25">
        <f>COUNTIFS(Tests!$C$5:$C$54,"*"&amp;A14&amp;"*",Tests!$G$5:$G$54,"Partiel")</f>
        <v/>
      </c>
      <c r="G14" s="25">
        <f>COUNTIFS(Tests!$C$5:$C$54,"*"&amp;A14&amp;"*",Tests!$G$5:$G$54,"Non testable")</f>
        <v/>
      </c>
      <c r="H14" s="25">
        <f>IF(E14&gt;0,"À corriger",IF(D14+G14=B14,"Validée",IF(C14=0,"À tester","En cours")))</f>
        <v/>
      </c>
    </row>
    <row r="15">
      <c r="A15" s="25" t="inlineStr">
        <is>
          <t>31</t>
        </is>
      </c>
      <c r="B15" s="25">
        <f>COUNTIF(Tests!$C$5:$C$54,"*"&amp;A15&amp;"*")</f>
        <v/>
      </c>
      <c r="C15" s="25">
        <f>COUNTIFS(Tests!$C$5:$C$54,"*"&amp;A15&amp;"*",Tests!$F$5:$F$54,"Oui")</f>
        <v/>
      </c>
      <c r="D15" s="25">
        <f>COUNTIFS(Tests!$C$5:$C$54,"*"&amp;A15&amp;"*",Tests!$G$5:$G$54,"OK")</f>
        <v/>
      </c>
      <c r="E15" s="25">
        <f>COUNTIFS(Tests!$C$5:$C$54,"*"&amp;A15&amp;"*",Tests!$G$5:$G$54,"KO")</f>
        <v/>
      </c>
      <c r="F15" s="25">
        <f>COUNTIFS(Tests!$C$5:$C$54,"*"&amp;A15&amp;"*",Tests!$G$5:$G$54,"Partiel")</f>
        <v/>
      </c>
      <c r="G15" s="25">
        <f>COUNTIFS(Tests!$C$5:$C$54,"*"&amp;A15&amp;"*",Tests!$G$5:$G$54,"Non testable")</f>
        <v/>
      </c>
      <c r="H15" s="25">
        <f>IF(E15&gt;0,"À corriger",IF(D15+G15=B15,"Validée",IF(C15=0,"À tester","En cours")))</f>
        <v/>
      </c>
    </row>
    <row r="16">
      <c r="A16" s="25" t="inlineStr">
        <is>
          <t>32</t>
        </is>
      </c>
      <c r="B16" s="25">
        <f>COUNTIF(Tests!$C$5:$C$54,"*"&amp;A16&amp;"*")</f>
        <v/>
      </c>
      <c r="C16" s="25">
        <f>COUNTIFS(Tests!$C$5:$C$54,"*"&amp;A16&amp;"*",Tests!$F$5:$F$54,"Oui")</f>
        <v/>
      </c>
      <c r="D16" s="25">
        <f>COUNTIFS(Tests!$C$5:$C$54,"*"&amp;A16&amp;"*",Tests!$G$5:$G$54,"OK")</f>
        <v/>
      </c>
      <c r="E16" s="25">
        <f>COUNTIFS(Tests!$C$5:$C$54,"*"&amp;A16&amp;"*",Tests!$G$5:$G$54,"KO")</f>
        <v/>
      </c>
      <c r="F16" s="25">
        <f>COUNTIFS(Tests!$C$5:$C$54,"*"&amp;A16&amp;"*",Tests!$G$5:$G$54,"Partiel")</f>
        <v/>
      </c>
      <c r="G16" s="25">
        <f>COUNTIFS(Tests!$C$5:$C$54,"*"&amp;A16&amp;"*",Tests!$G$5:$G$54,"Non testable")</f>
        <v/>
      </c>
      <c r="H16" s="25">
        <f>IF(E16&gt;0,"À corriger",IF(D16+G16=B16,"Validée",IF(C16=0,"À tester","En cours")))</f>
        <v/>
      </c>
    </row>
    <row r="17">
      <c r="A17" s="25" t="inlineStr">
        <is>
          <t>33</t>
        </is>
      </c>
      <c r="B17" s="25">
        <f>COUNTIF(Tests!$C$5:$C$54,"*"&amp;A17&amp;"*")</f>
        <v/>
      </c>
      <c r="C17" s="25">
        <f>COUNTIFS(Tests!$C$5:$C$54,"*"&amp;A17&amp;"*",Tests!$F$5:$F$54,"Oui")</f>
        <v/>
      </c>
      <c r="D17" s="25">
        <f>COUNTIFS(Tests!$C$5:$C$54,"*"&amp;A17&amp;"*",Tests!$G$5:$G$54,"OK")</f>
        <v/>
      </c>
      <c r="E17" s="25">
        <f>COUNTIFS(Tests!$C$5:$C$54,"*"&amp;A17&amp;"*",Tests!$G$5:$G$54,"KO")</f>
        <v/>
      </c>
      <c r="F17" s="25">
        <f>COUNTIFS(Tests!$C$5:$C$54,"*"&amp;A17&amp;"*",Tests!$G$5:$G$54,"Partiel")</f>
        <v/>
      </c>
      <c r="G17" s="25">
        <f>COUNTIFS(Tests!$C$5:$C$54,"*"&amp;A17&amp;"*",Tests!$G$5:$G$54,"Non testable")</f>
        <v/>
      </c>
      <c r="H17" s="25">
        <f>IF(E17&gt;0,"À corriger",IF(D17+G17=B17,"Validée",IF(C17=0,"À tester","En cours")))</f>
        <v/>
      </c>
    </row>
    <row r="18">
      <c r="A18" s="25" t="inlineStr">
        <is>
          <t>34</t>
        </is>
      </c>
      <c r="B18" s="25">
        <f>COUNTIF(Tests!$C$5:$C$54,"*"&amp;A18&amp;"*")</f>
        <v/>
      </c>
      <c r="C18" s="25">
        <f>COUNTIFS(Tests!$C$5:$C$54,"*"&amp;A18&amp;"*",Tests!$F$5:$F$54,"Oui")</f>
        <v/>
      </c>
      <c r="D18" s="25">
        <f>COUNTIFS(Tests!$C$5:$C$54,"*"&amp;A18&amp;"*",Tests!$G$5:$G$54,"OK")</f>
        <v/>
      </c>
      <c r="E18" s="25">
        <f>COUNTIFS(Tests!$C$5:$C$54,"*"&amp;A18&amp;"*",Tests!$G$5:$G$54,"KO")</f>
        <v/>
      </c>
      <c r="F18" s="25">
        <f>COUNTIFS(Tests!$C$5:$C$54,"*"&amp;A18&amp;"*",Tests!$G$5:$G$54,"Partiel")</f>
        <v/>
      </c>
      <c r="G18" s="25">
        <f>COUNTIFS(Tests!$C$5:$C$54,"*"&amp;A18&amp;"*",Tests!$G$5:$G$54,"Non testable")</f>
        <v/>
      </c>
      <c r="H18" s="25">
        <f>IF(E18&gt;0,"À corriger",IF(D18+G18=B18,"Validée",IF(C18=0,"À tester","En cours")))</f>
        <v/>
      </c>
    </row>
    <row r="19">
      <c r="A19" s="25" t="inlineStr">
        <is>
          <t>35</t>
        </is>
      </c>
      <c r="B19" s="25">
        <f>COUNTIF(Tests!$C$5:$C$54,"*"&amp;A19&amp;"*")</f>
        <v/>
      </c>
      <c r="C19" s="25">
        <f>COUNTIFS(Tests!$C$5:$C$54,"*"&amp;A19&amp;"*",Tests!$F$5:$F$54,"Oui")</f>
        <v/>
      </c>
      <c r="D19" s="25">
        <f>COUNTIFS(Tests!$C$5:$C$54,"*"&amp;A19&amp;"*",Tests!$G$5:$G$54,"OK")</f>
        <v/>
      </c>
      <c r="E19" s="25">
        <f>COUNTIFS(Tests!$C$5:$C$54,"*"&amp;A19&amp;"*",Tests!$G$5:$G$54,"KO")</f>
        <v/>
      </c>
      <c r="F19" s="25">
        <f>COUNTIFS(Tests!$C$5:$C$54,"*"&amp;A19&amp;"*",Tests!$G$5:$G$54,"Partiel")</f>
        <v/>
      </c>
      <c r="G19" s="25">
        <f>COUNTIFS(Tests!$C$5:$C$54,"*"&amp;A19&amp;"*",Tests!$G$5:$G$54,"Non testable")</f>
        <v/>
      </c>
      <c r="H19" s="25">
        <f>IF(E19&gt;0,"À corriger",IF(D19+G19=B19,"Validée",IF(C19=0,"À tester","En cours")))</f>
        <v/>
      </c>
    </row>
    <row r="20">
      <c r="A20" s="25" t="inlineStr">
        <is>
          <t>36</t>
        </is>
      </c>
      <c r="B20" s="25">
        <f>COUNTIF(Tests!$C$5:$C$54,"*"&amp;A20&amp;"*")</f>
        <v/>
      </c>
      <c r="C20" s="25">
        <f>COUNTIFS(Tests!$C$5:$C$54,"*"&amp;A20&amp;"*",Tests!$F$5:$F$54,"Oui")</f>
        <v/>
      </c>
      <c r="D20" s="25">
        <f>COUNTIFS(Tests!$C$5:$C$54,"*"&amp;A20&amp;"*",Tests!$G$5:$G$54,"OK")</f>
        <v/>
      </c>
      <c r="E20" s="25">
        <f>COUNTIFS(Tests!$C$5:$C$54,"*"&amp;A20&amp;"*",Tests!$G$5:$G$54,"KO")</f>
        <v/>
      </c>
      <c r="F20" s="25">
        <f>COUNTIFS(Tests!$C$5:$C$54,"*"&amp;A20&amp;"*",Tests!$G$5:$G$54,"Partiel")</f>
        <v/>
      </c>
      <c r="G20" s="25">
        <f>COUNTIFS(Tests!$C$5:$C$54,"*"&amp;A20&amp;"*",Tests!$G$5:$G$54,"Non testable")</f>
        <v/>
      </c>
      <c r="H20" s="25">
        <f>IF(E20&gt;0,"À corriger",IF(D20+G20=B20,"Validée",IF(C20=0,"À tester","En cours")))</f>
        <v/>
      </c>
    </row>
    <row r="21">
      <c r="A21" s="25" t="inlineStr">
        <is>
          <t>37</t>
        </is>
      </c>
      <c r="B21" s="25">
        <f>COUNTIF(Tests!$C$5:$C$54,"*"&amp;A21&amp;"*")</f>
        <v/>
      </c>
      <c r="C21" s="25">
        <f>COUNTIFS(Tests!$C$5:$C$54,"*"&amp;A21&amp;"*",Tests!$F$5:$F$54,"Oui")</f>
        <v/>
      </c>
      <c r="D21" s="25">
        <f>COUNTIFS(Tests!$C$5:$C$54,"*"&amp;A21&amp;"*",Tests!$G$5:$G$54,"OK")</f>
        <v/>
      </c>
      <c r="E21" s="25">
        <f>COUNTIFS(Tests!$C$5:$C$54,"*"&amp;A21&amp;"*",Tests!$G$5:$G$54,"KO")</f>
        <v/>
      </c>
      <c r="F21" s="25">
        <f>COUNTIFS(Tests!$C$5:$C$54,"*"&amp;A21&amp;"*",Tests!$G$5:$G$54,"Partiel")</f>
        <v/>
      </c>
      <c r="G21" s="25">
        <f>COUNTIFS(Tests!$C$5:$C$54,"*"&amp;A21&amp;"*",Tests!$G$5:$G$54,"Non testable")</f>
        <v/>
      </c>
      <c r="H21" s="25">
        <f>IF(E21&gt;0,"À corriger",IF(D21+G21=B21,"Validée",IF(C21=0,"À tester","En cours")))</f>
        <v/>
      </c>
    </row>
    <row r="22">
      <c r="A22" s="25" t="inlineStr">
        <is>
          <t>38</t>
        </is>
      </c>
      <c r="B22" s="25">
        <f>COUNTIF(Tests!$C$5:$C$54,"*"&amp;A22&amp;"*")</f>
        <v/>
      </c>
      <c r="C22" s="25">
        <f>COUNTIFS(Tests!$C$5:$C$54,"*"&amp;A22&amp;"*",Tests!$F$5:$F$54,"Oui")</f>
        <v/>
      </c>
      <c r="D22" s="25">
        <f>COUNTIFS(Tests!$C$5:$C$54,"*"&amp;A22&amp;"*",Tests!$G$5:$G$54,"OK")</f>
        <v/>
      </c>
      <c r="E22" s="25">
        <f>COUNTIFS(Tests!$C$5:$C$54,"*"&amp;A22&amp;"*",Tests!$G$5:$G$54,"KO")</f>
        <v/>
      </c>
      <c r="F22" s="25">
        <f>COUNTIFS(Tests!$C$5:$C$54,"*"&amp;A22&amp;"*",Tests!$G$5:$G$54,"Partiel")</f>
        <v/>
      </c>
      <c r="G22" s="25">
        <f>COUNTIFS(Tests!$C$5:$C$54,"*"&amp;A22&amp;"*",Tests!$G$5:$G$54,"Non testable")</f>
        <v/>
      </c>
      <c r="H22" s="25">
        <f>IF(E22&gt;0,"À corriger",IF(D22+G22=B22,"Validée",IF(C22=0,"À tester","En cours")))</f>
        <v/>
      </c>
    </row>
    <row r="23">
      <c r="A23" s="25" t="inlineStr">
        <is>
          <t>39</t>
        </is>
      </c>
      <c r="B23" s="25">
        <f>COUNTIF(Tests!$C$5:$C$54,"*"&amp;A23&amp;"*")</f>
        <v/>
      </c>
      <c r="C23" s="25">
        <f>COUNTIFS(Tests!$C$5:$C$54,"*"&amp;A23&amp;"*",Tests!$F$5:$F$54,"Oui")</f>
        <v/>
      </c>
      <c r="D23" s="25">
        <f>COUNTIFS(Tests!$C$5:$C$54,"*"&amp;A23&amp;"*",Tests!$G$5:$G$54,"OK")</f>
        <v/>
      </c>
      <c r="E23" s="25">
        <f>COUNTIFS(Tests!$C$5:$C$54,"*"&amp;A23&amp;"*",Tests!$G$5:$G$54,"KO")</f>
        <v/>
      </c>
      <c r="F23" s="25">
        <f>COUNTIFS(Tests!$C$5:$C$54,"*"&amp;A23&amp;"*",Tests!$G$5:$G$54,"Partiel")</f>
        <v/>
      </c>
      <c r="G23" s="25">
        <f>COUNTIFS(Tests!$C$5:$C$54,"*"&amp;A23&amp;"*",Tests!$G$5:$G$54,"Non testable")</f>
        <v/>
      </c>
      <c r="H23" s="25">
        <f>IF(E23&gt;0,"À corriger",IF(D23+G23=B23,"Validée",IF(C23=0,"À tester","En cours")))</f>
        <v/>
      </c>
    </row>
    <row r="24">
      <c r="A24" s="25" t="inlineStr">
        <is>
          <t>41</t>
        </is>
      </c>
      <c r="B24" s="25">
        <f>COUNTIF(Tests!$C$5:$C$54,"*"&amp;A24&amp;"*")</f>
        <v/>
      </c>
      <c r="C24" s="25">
        <f>COUNTIFS(Tests!$C$5:$C$54,"*"&amp;A24&amp;"*",Tests!$F$5:$F$54,"Oui")</f>
        <v/>
      </c>
      <c r="D24" s="25">
        <f>COUNTIFS(Tests!$C$5:$C$54,"*"&amp;A24&amp;"*",Tests!$G$5:$G$54,"OK")</f>
        <v/>
      </c>
      <c r="E24" s="25">
        <f>COUNTIFS(Tests!$C$5:$C$54,"*"&amp;A24&amp;"*",Tests!$G$5:$G$54,"KO")</f>
        <v/>
      </c>
      <c r="F24" s="25">
        <f>COUNTIFS(Tests!$C$5:$C$54,"*"&amp;A24&amp;"*",Tests!$G$5:$G$54,"Partiel")</f>
        <v/>
      </c>
      <c r="G24" s="25">
        <f>COUNTIFS(Tests!$C$5:$C$54,"*"&amp;A24&amp;"*",Tests!$G$5:$G$54,"Non testable")</f>
        <v/>
      </c>
      <c r="H24" s="25">
        <f>IF(E24&gt;0,"À corriger",IF(D24+G24=B24,"Validée",IF(C24=0,"À tester","En cours")))</f>
        <v/>
      </c>
    </row>
    <row r="25">
      <c r="A25" s="25" t="inlineStr">
        <is>
          <t>5 (en attente)</t>
        </is>
      </c>
      <c r="B25" s="25">
        <f>COUNTIF(Tests!$C$5:$C$54,A25)</f>
        <v/>
      </c>
      <c r="C25" s="25">
        <f>COUNTIFS(Tests!$C$5:$C$54,A25,Tests!$F$5:$F$54,"Oui")</f>
        <v/>
      </c>
      <c r="D25" s="25">
        <f>COUNTIFS(Tests!$C$5:$C$54,A25,Tests!$G$5:$G$54,"OK")</f>
        <v/>
      </c>
      <c r="E25" s="25">
        <f>COUNTIFS(Tests!$C$5:$C$54,A25,Tests!$G$5:$G$54,"KO")</f>
        <v/>
      </c>
      <c r="F25" s="25">
        <f>COUNTIFS(Tests!$C$5:$C$54,A25,Tests!$G$5:$G$54,"Partiel")</f>
        <v/>
      </c>
      <c r="G25" s="25">
        <f>COUNTIFS(Tests!$C$5:$C$54,A25,Tests!$G$5:$G$54,"Non testable")</f>
        <v/>
      </c>
      <c r="H25" s="25">
        <f>IF(E25&gt;0,"À corriger",IF(D25+G25=B25,"Validée",IF(C25=0,"À tester","En cours")))</f>
        <v/>
      </c>
    </row>
    <row r="26">
      <c r="A26" s="25" t="inlineStr">
        <is>
          <t>SYNC</t>
        </is>
      </c>
      <c r="B26" s="25">
        <f>COUNTIF(Tests!$C$5:$C$54,A26)</f>
        <v/>
      </c>
      <c r="C26" s="25">
        <f>COUNTIFS(Tests!$C$5:$C$54,A26,Tests!$F$5:$F$54,"Oui")</f>
        <v/>
      </c>
      <c r="D26" s="25">
        <f>COUNTIFS(Tests!$C$5:$C$54,A26,Tests!$G$5:$G$54,"OK")</f>
        <v/>
      </c>
      <c r="E26" s="25">
        <f>COUNTIFS(Tests!$C$5:$C$54,A26,Tests!$G$5:$G$54,"KO")</f>
        <v/>
      </c>
      <c r="F26" s="25">
        <f>COUNTIFS(Tests!$C$5:$C$54,A26,Tests!$G$5:$G$54,"Partiel")</f>
        <v/>
      </c>
      <c r="G26" s="25">
        <f>COUNTIFS(Tests!$C$5:$C$54,A26,Tests!$G$5:$G$54,"Non testable")</f>
        <v/>
      </c>
      <c r="H26" s="25">
        <f>IF(E26&gt;0,"À corriger",IF(D26+G26=B26,"Validée",IF(C26=0,"À tester","En cours")))</f>
        <v/>
      </c>
    </row>
    <row r="27">
      <c r="A27" s="26" t="inlineStr">
        <is>
          <t>Total</t>
        </is>
      </c>
      <c r="B27" s="26">
        <f>COUNTA(Tests!$A$5:$A$54)</f>
        <v/>
      </c>
      <c r="C27" s="26">
        <f>COUNTIF(Tests!$F$5:$F$54,"Oui")</f>
        <v/>
      </c>
      <c r="D27" s="26">
        <f>COUNTIF(Tests!$G$5:$G$54,"OK")</f>
        <v/>
      </c>
      <c r="E27" s="26">
        <f>COUNTIF(Tests!$G$5:$G$54,"KO")</f>
        <v/>
      </c>
      <c r="F27" s="26">
        <f>COUNTIF(Tests!$G$5:$G$54,"Partiel")</f>
        <v/>
      </c>
      <c r="G27" s="26">
        <f>COUNTIF(Tests!$G$5:$G$54,"Non testable")</f>
        <v/>
      </c>
      <c r="H27" s="26" t="n"/>
    </row>
    <row r="28"/>
    <row r="29">
      <c r="A29" s="27" t="inlineStr">
        <is>
          <t>Un test peut couvrir plusieurs PR : il compte pour chacune. « Validée » = tous les tests de la PR en OK ou Non testable. Un test « Partiel » corrigé depuis reste « En cours » jusqu'à ce que tu le refasses.</t>
        </is>
      </c>
    </row>
  </sheetData>
  <conditionalFormatting sqref="H4:H26">
    <cfRule type="cellIs" priority="1" operator="equal" dxfId="1">
      <formula>"Validée"</formula>
    </cfRule>
    <cfRule type="cellIs" priority="2" operator="equal" dxfId="0">
      <formula>"À corriger"</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10" defaultColWidth="9.140625" defaultRowHeight="15"/>
  <cols>
    <col width="24" customWidth="1" min="1" max="1"/>
    <col width="90" customWidth="1" min="2" max="2"/>
    <col width="14" customWidth="1" min="3" max="5"/>
    <col width="60" customWidth="1" min="6" max="6"/>
  </cols>
  <sheetData>
    <row r="1" ht="16.5" customHeight="1">
      <c r="A1" s="9" t="inlineStr">
        <is>
          <t>Mode d'emploi</t>
        </is>
      </c>
    </row>
    <row r="2">
      <c r="A2" s="10" t="inlineStr">
        <is>
          <t>Cellules à remplir</t>
        </is>
      </c>
      <c r="B2" s="11" t="inlineStr">
        <is>
          <t>Colonnes jaunes de l'onglet Tests : Effectué, Résultat, Date, Commentaires. Le reste est fixe.</t>
        </is>
      </c>
    </row>
    <row r="3">
      <c r="A3" s="10" t="inlineStr">
        <is>
          <t>Effectué</t>
        </is>
      </c>
      <c r="B3" s="11" t="inlineStr">
        <is>
          <t>Oui ou Non (liste déroulante).</t>
        </is>
      </c>
    </row>
    <row r="4" ht="25.5" customHeight="1">
      <c r="A4" s="10" t="inlineStr">
        <is>
          <t>Résultat</t>
        </is>
      </c>
      <c r="B4" s="11" t="inlineStr">
        <is>
          <t>OK : conforme au résultat attendu. KO : non conforme. Partiel : en partie conforme (préciser). Non testable : matériel ou fichier absent.</t>
        </is>
      </c>
    </row>
    <row r="5">
      <c r="A5" s="10" t="inlineStr">
        <is>
          <t>Date</t>
        </is>
      </c>
      <c r="B5" s="11" t="inlineStr">
        <is>
          <t>Date du test, format JJ/MM/AAAA.</t>
        </is>
      </c>
    </row>
    <row r="6" ht="25.5" customHeight="1">
      <c r="A6" s="10" t="inlineStr">
        <is>
          <t>Commentaires</t>
        </is>
      </c>
      <c r="B6" s="11" t="inlineStr">
        <is>
          <t>Pour un KO ou un Partiel : ce qui s'est passé, le message affiché, le fichier utilisé (format, caméra, codec).</t>
        </is>
      </c>
    </row>
    <row r="7">
      <c r="A7" s="10" t="inlineStr">
        <is>
          <t>Ordre</t>
        </is>
      </c>
      <c r="B7" s="11" t="inlineStr">
        <is>
          <t>Suivre l'ordre des numéros. La section G (désinstallation) efface les réglages : la faire en dernier.</t>
        </is>
      </c>
    </row>
    <row r="8" ht="25.5" customHeight="1">
      <c r="A8" s="10" t="inlineStr">
        <is>
          <t>Build</t>
        </is>
      </c>
      <c r="B8" s="11" t="inlineStr">
        <is>
          <t>https://github.com/Herve-obe/VERIFLOW-v4/actions/runs/41209261957 (artefact veriflow-windows-latest, build du 31/10).</t>
        </is>
      </c>
    </row>
    <row r="9">
      <c r="A9" s="10" t="inlineStr">
        <is>
          <t>Retour</t>
        </is>
      </c>
      <c r="B9" s="11" t="inlineStr">
        <is>
          <t>Déposer le fichier rempli dans la conversation, ou le pousser dans docs/recette/ du dépôt.</t>
        </is>
      </c>
    </row>
    <row r="11" ht="16.5" customHeight="1">
      <c r="A11" s="9" t="inlineStr">
        <is>
          <t>Exemple de ligne remplie</t>
        </is>
      </c>
    </row>
    <row r="12">
      <c r="A12" s="12" t="inlineStr">
        <is>
          <t>N°</t>
        </is>
      </c>
      <c r="B12" s="12" t="inlineStr">
        <is>
          <t>PR</t>
        </is>
      </c>
      <c r="C12" s="12" t="inlineStr">
        <is>
          <t>Effectué</t>
        </is>
      </c>
      <c r="D12" s="12" t="inlineStr">
        <is>
          <t>Résultat</t>
        </is>
      </c>
      <c r="E12" s="12" t="inlineStr">
        <is>
          <t>Date</t>
        </is>
      </c>
      <c r="F12" s="12" t="inlineStr">
        <is>
          <t>Commentaires</t>
        </is>
      </c>
    </row>
    <row r="13" ht="25.5" customHeight="1">
      <c r="A13" s="13" t="n">
        <v>13</v>
      </c>
      <c r="B13" s="13" t="inlineStr">
        <is>
          <t>21</t>
        </is>
      </c>
      <c r="C13" s="13" t="inlineStr">
        <is>
          <t>Oui</t>
        </is>
      </c>
      <c r="D13" s="13" t="inlineStr">
        <is>
          <t>KO</t>
        </is>
      </c>
      <c r="E13" s="13" t="inlineStr">
        <is>
          <t>21/10/2026</t>
        </is>
      </c>
      <c r="F13" s="13" t="inlineStr">
        <is>
          <t>Fichier ouvert dans Reaper : message affiché, mais le disque a disparu de l'explorateur.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2026-10-21T17:18:59Z</dcterms:created>
  <dcterms:modified xsi:type="dcterms:W3CDTF">2026-10-31T15:40:06Z</dcterms:modified>
  <cp:lastModifiedBy>OBEJERO Hervé</cp:lastModifiedBy>
</cp:coreProperties>
</file>