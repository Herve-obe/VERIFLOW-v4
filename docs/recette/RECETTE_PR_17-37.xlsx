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Tests" sheetId="1" state="visible" r:id="rId1"/>
    <sheet name="Synthèse" sheetId="2" state="visible" r:id="rId2"/>
    <sheet name="Légende" sheetId="3" state="visible" r:id="rId3"/>
  </sheets>
  <definedNames>
    <definedName name="_xlnm._FilterDatabase" localSheetId="0" hidden="1">'Tests'!$A$4:$J$41</definedName>
    <definedName name="_xlnm.Print_Titles" localSheetId="0">'Tests'!$4:$4</definedName>
  </definedNames>
  <calcPr calcId="19102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Arial"/>
      <b val="1"/>
      <sz val="14"/>
    </font>
    <font>
      <name val="Arial"/>
      <i val="1"/>
      <color rgb="FF595959"/>
      <sz val="11"/>
    </font>
    <font>
      <name val="Arial"/>
      <b val="1"/>
      <color rgb="FFFFFFFF"/>
      <sz val="11"/>
    </font>
    <font>
      <name val="Arial"/>
      <sz val="10"/>
    </font>
    <font>
      <name val="Arial"/>
      <b val="1"/>
      <sz val="13"/>
    </font>
    <font>
      <name val="Arial"/>
      <b val="1"/>
      <sz val="11"/>
    </font>
    <font>
      <name val="Arial"/>
      <i val="1"/>
      <color rgb="FF595959"/>
      <sz val="9"/>
    </font>
    <font>
      <name val="Arial"/>
      <b val="1"/>
      <sz val="10"/>
    </font>
    <font>
      <name val="Arial"/>
      <i val="1"/>
      <sz val="10"/>
    </font>
    <font>
      <name val="Arial"/>
      <b val="1"/>
      <color rgb="FFFFFFFF"/>
      <sz val="11"/>
    </font>
    <font>
      <name val="Arial"/>
      <b val="1"/>
      <color rgb="00FFFFFF"/>
    </font>
    <font>
      <name val="Arial"/>
      <b val="1"/>
    </font>
    <font>
      <name val="Arial"/>
      <i val="1"/>
      <color rgb="00595959"/>
      <sz val="9"/>
    </font>
  </fonts>
  <fills count="11">
    <fill>
      <patternFill/>
    </fill>
    <fill>
      <patternFill patternType="gray125"/>
    </fill>
    <fill>
      <patternFill patternType="solid">
        <fgColor rgb="FF1F3864"/>
      </patternFill>
    </fill>
    <fill>
      <patternFill patternType="solid">
        <fgColor rgb="FFFFF2CC"/>
      </patternFill>
    </fill>
    <fill>
      <patternFill patternType="solid">
        <fgColor rgb="FFD9E1F2"/>
      </patternFill>
    </fill>
    <fill>
      <patternFill patternType="solid">
        <fgColor rgb="FF1F3864"/>
      </patternFill>
    </fill>
    <fill>
      <patternFill patternType="solid">
        <fgColor rgb="FFE2EFDA"/>
      </patternFill>
    </fill>
    <fill>
      <patternFill patternType="solid">
        <fgColor rgb="00E2EFDA"/>
      </patternFill>
    </fill>
    <fill>
      <patternFill patternType="solid">
        <fgColor rgb="00FFF2CC"/>
      </patternFill>
    </fill>
    <fill>
      <patternFill patternType="solid">
        <fgColor rgb="001F3864"/>
      </patternFill>
    </fill>
    <fill>
      <patternFill patternType="solid">
        <fgColor rgb="00D9E1F2"/>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0" borderId="1" applyAlignment="1" pivotButton="0" quotePrefix="0" xfId="0">
      <alignment horizontal="left" vertical="top" wrapText="1"/>
    </xf>
    <xf numFmtId="0" fontId="4" fillId="3" borderId="1" applyAlignment="1" pivotButton="0" quotePrefix="0" xfId="0">
      <alignment horizontal="center" vertical="top" wrapText="1"/>
    </xf>
    <xf numFmtId="14" fontId="4" fillId="3"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0" pivotButton="0" quotePrefix="0" xfId="0"/>
    <xf numFmtId="0" fontId="3" fillId="2" borderId="1" applyAlignment="1" pivotButton="0" quotePrefix="0" xfId="0">
      <alignment horizontal="center"/>
    </xf>
    <xf numFmtId="0" fontId="4" fillId="0" borderId="1" applyAlignment="1" pivotButton="0" quotePrefix="0" xfId="0">
      <alignment horizontal="center"/>
    </xf>
    <xf numFmtId="0" fontId="6" fillId="4" borderId="1" applyAlignment="1" pivotButton="0" quotePrefix="0" xfId="0">
      <alignment horizontal="center"/>
    </xf>
    <xf numFmtId="0" fontId="7" fillId="0" borderId="0" pivotButton="0" quotePrefix="0" xfId="0"/>
    <xf numFmtId="0" fontId="8" fillId="0" borderId="0" pivotButton="0" quotePrefix="0" xfId="0"/>
    <xf numFmtId="0" fontId="4" fillId="0" borderId="0" applyAlignment="1" pivotButton="0" quotePrefix="0" xfId="0">
      <alignment vertical="top" wrapText="1"/>
    </xf>
    <xf numFmtId="0" fontId="3" fillId="2" borderId="1" pivotButton="0" quotePrefix="0" xfId="0"/>
    <xf numFmtId="0" fontId="9" fillId="3" borderId="1" applyAlignment="1" pivotButton="0" quotePrefix="0" xfId="0">
      <alignment vertical="top" wrapText="1"/>
    </xf>
    <xf numFmtId="0" fontId="10" fillId="5" borderId="2" applyAlignment="1" pivotButton="0" quotePrefix="0" xfId="0">
      <alignment horizontal="center" vertical="center" wrapText="1"/>
    </xf>
    <xf numFmtId="0" fontId="4" fillId="0" borderId="2" applyAlignment="1" pivotButton="0" quotePrefix="0" xfId="0">
      <alignment vertical="top" wrapText="1"/>
    </xf>
    <xf numFmtId="0" fontId="4" fillId="6" borderId="2" applyAlignment="1" pivotButton="0" quotePrefix="0" xfId="0">
      <alignment vertical="top" wrapText="1"/>
    </xf>
    <xf numFmtId="0" fontId="4" fillId="7" borderId="3" applyAlignment="1" pivotButton="0" quotePrefix="0" xfId="0">
      <alignment vertical="top" wrapText="1"/>
    </xf>
    <xf numFmtId="0"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4" fillId="8" borderId="3" applyAlignment="1" pivotButton="0" quotePrefix="0" xfId="0">
      <alignment horizontal="center" vertical="top" wrapText="1"/>
    </xf>
    <xf numFmtId="164" fontId="4" fillId="8" borderId="3" applyAlignment="1" pivotButton="0" quotePrefix="0" xfId="0">
      <alignment horizontal="center" vertical="top" wrapText="1"/>
    </xf>
    <xf numFmtId="0" fontId="4" fillId="8" borderId="3" applyAlignment="1" pivotButton="0" quotePrefix="0" xfId="0">
      <alignment horizontal="left" vertical="top" wrapText="1"/>
    </xf>
    <xf numFmtId="0" fontId="4" fillId="7" borderId="3" applyAlignment="1" pivotButton="0" quotePrefix="0" xfId="0">
      <alignment horizontal="left" vertical="top" wrapText="1"/>
    </xf>
    <xf numFmtId="0" fontId="11" fillId="9" borderId="3" applyAlignment="1" pivotButton="0" quotePrefix="0" xfId="0">
      <alignment horizontal="center"/>
    </xf>
    <xf numFmtId="0" fontId="4" fillId="0" borderId="3" applyAlignment="1" pivotButton="0" quotePrefix="0" xfId="0">
      <alignment horizontal="center"/>
    </xf>
    <xf numFmtId="0" fontId="12" fillId="10" borderId="3" applyAlignment="1" pivotButton="0" quotePrefix="0" xfId="0">
      <alignment horizontal="center"/>
    </xf>
    <xf numFmtId="0" fontId="13" fillId="0" borderId="0" pivotButton="0" quotePrefix="0" xfId="0"/>
  </cellXfs>
  <cellStyles count="1">
    <cellStyle name="Normal" xfId="0" builtinId="0"/>
  </cellStyles>
  <dxfs count="10">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41"/>
  <sheetViews>
    <sheetView tabSelected="1" workbookViewId="0">
      <pane xSplit="3" ySplit="4" topLeftCell="D24" activePane="bottomRight" state="frozen"/>
      <selection pane="topRight" activeCell="A1" sqref="A1"/>
      <selection pane="bottomLeft" activeCell="A1" sqref="A1"/>
      <selection pane="bottomRight" activeCell="I34" sqref="I34"/>
    </sheetView>
  </sheetViews>
  <sheetFormatPr baseColWidth="10" defaultColWidth="9.140625" defaultRowHeight="15"/>
  <cols>
    <col width="5" customWidth="1" min="1" max="1"/>
    <col width="22" customWidth="1" min="2" max="2"/>
    <col width="12" customWidth="1" min="3" max="3"/>
    <col width="55" customWidth="1" min="4" max="5"/>
    <col width="11" customWidth="1" min="6" max="6"/>
    <col width="13" customWidth="1" min="7" max="7"/>
    <col width="12" customWidth="1" min="8" max="8"/>
    <col width="50" customWidth="1" min="9" max="9"/>
    <col width="60" customWidth="1" min="10" max="10"/>
  </cols>
  <sheetData>
    <row r="1" ht="18" customHeight="1">
      <c r="A1" s="1" t="inlineStr">
        <is>
          <t>Recette VERIFLOW : PR 17 à 38 (build de la branche claude/recette, Windows 11)</t>
        </is>
      </c>
    </row>
    <row r="2">
      <c r="A2" s="2" t="inlineStr">
        <is>
          <t>Remplir uniquement les colonnes jaunes (Effectué, Résultat, Date, Commentaires). Mode d'emploi : onglet Légende.</t>
        </is>
      </c>
    </row>
    <row r="4">
      <c r="A4" s="3" t="inlineStr">
        <is>
          <t>N°</t>
        </is>
      </c>
      <c r="B4" s="3" t="inlineStr">
        <is>
          <t>Section</t>
        </is>
      </c>
      <c r="C4" s="3" t="inlineStr">
        <is>
          <t>PR</t>
        </is>
      </c>
      <c r="D4" s="3" t="inlineStr">
        <is>
          <t>Action</t>
        </is>
      </c>
      <c r="E4" s="3" t="inlineStr">
        <is>
          <t>Résultat attendu</t>
        </is>
      </c>
      <c r="F4" s="3" t="inlineStr">
        <is>
          <t>Effectué</t>
        </is>
      </c>
      <c r="G4" s="3" t="inlineStr">
        <is>
          <t>Résultat</t>
        </is>
      </c>
      <c r="H4" s="3" t="inlineStr">
        <is>
          <t>Date</t>
        </is>
      </c>
      <c r="I4" s="3" t="inlineStr">
        <is>
          <t>Commentaires</t>
        </is>
      </c>
      <c r="J4" s="18" t="inlineStr">
        <is>
          <t>Réponse de Claude (mise à jour 25/10)</t>
        </is>
      </c>
    </row>
    <row r="5" ht="25.5" customHeight="1">
      <c r="A5" s="4" t="n">
        <v>1</v>
      </c>
      <c r="B5" s="5" t="inlineStr">
        <is>
          <t>A. Installation et menus</t>
        </is>
      </c>
      <c r="C5" s="4" t="inlineStr">
        <is>
          <t>37</t>
        </is>
      </c>
      <c r="D5" s="5" t="inlineStr">
        <is>
          <t>Lancer setup.exe (build claude/recette, artefact veriflow-windows-latest).</t>
        </is>
      </c>
      <c r="E5" s="5" t="inlineStr">
        <is>
          <t>L'installeur affiche le CLUF en français avant l'installation.</t>
        </is>
      </c>
      <c r="F5" s="6" t="inlineStr">
        <is>
          <t>Oui</t>
        </is>
      </c>
      <c r="G5" s="6" t="inlineStr">
        <is>
          <t>OK</t>
        </is>
      </c>
      <c r="H5" s="7" t="n">
        <v>46317</v>
      </c>
      <c r="I5" s="8" t="inlineStr">
        <is>
          <t>RAS</t>
        </is>
      </c>
      <c r="J5" s="19" t="n"/>
    </row>
    <row r="6" ht="25.5" customHeight="1">
      <c r="A6" s="4" t="n">
        <v>2</v>
      </c>
      <c r="B6" s="5" t="inlineStr">
        <is>
          <t>A. Installation et menus</t>
        </is>
      </c>
      <c r="C6" s="4" t="inlineStr">
        <is>
          <t>37</t>
        </is>
      </c>
      <c r="D6" s="5" t="inlineStr">
        <is>
          <t>Aide &gt; À propos.</t>
        </is>
      </c>
      <c r="E6" s="5" t="inlineStr">
        <is>
          <t>Version de FFmpeg (9.0.2) et bouton « Licences, CLUF et CGU » affichés.</t>
        </is>
      </c>
      <c r="F6" s="6" t="inlineStr">
        <is>
          <t>Oui</t>
        </is>
      </c>
      <c r="G6" s="6" t="inlineStr">
        <is>
          <t>OK</t>
        </is>
      </c>
      <c r="H6" s="7" t="n">
        <v>46317</v>
      </c>
      <c r="I6" s="8" t="inlineStr">
        <is>
          <t>RAS</t>
        </is>
      </c>
      <c r="J6" s="19" t="n"/>
    </row>
    <row r="7" ht="25.5" customHeight="1">
      <c r="A7" s="4" t="n">
        <v>3</v>
      </c>
      <c r="B7" s="5" t="inlineStr">
        <is>
          <t>A. Installation et menus</t>
        </is>
      </c>
      <c r="C7" s="4" t="inlineStr">
        <is>
          <t>37</t>
        </is>
      </c>
      <c r="D7" s="5" t="inlineStr">
        <is>
          <t>Cliquer sur « Licences, CLUF et CGU », ouvrir chaque rubrique.</t>
        </is>
      </c>
      <c r="E7" s="5" t="inlineStr">
        <is>
          <t>VERIFLOW, CLUF, CGU, FFmpeg (version et configuration), Composants tiers et Textes des licences ont tous un texte.</t>
        </is>
      </c>
      <c r="F7" s="6" t="inlineStr">
        <is>
          <t>Oui</t>
        </is>
      </c>
      <c r="G7" s="6" t="inlineStr">
        <is>
          <t>OK</t>
        </is>
      </c>
      <c r="H7" s="7" t="n">
        <v>46317</v>
      </c>
      <c r="I7" s="8" t="inlineStr">
        <is>
          <t>RAS</t>
        </is>
      </c>
      <c r="J7" s="19" t="n"/>
    </row>
    <row r="8" ht="25.5" customHeight="1">
      <c r="A8" s="4" t="n">
        <v>4</v>
      </c>
      <c r="B8" s="5" t="inlineStr">
        <is>
          <t>A. Installation et menus</t>
        </is>
      </c>
      <c r="C8" s="4" t="inlineStr">
        <is>
          <t>26</t>
        </is>
      </c>
      <c r="D8" s="5" t="inlineStr">
        <is>
          <t>Appuyer sur F1, changer de chapitre dans le sommaire. Relire le fond.</t>
        </is>
      </c>
      <c r="E8" s="5" t="inlineStr">
        <is>
          <t>Le guide s'ouvre, le sommaire change de chapitre. Remarques de fond dans Commentaires.</t>
        </is>
      </c>
      <c r="F8" s="6" t="inlineStr">
        <is>
          <t>Oui</t>
        </is>
      </c>
      <c r="G8" s="6" t="inlineStr">
        <is>
          <t>Partiel</t>
        </is>
      </c>
      <c r="H8" s="7" t="n">
        <v>46318</v>
      </c>
      <c r="I8" s="8" t="inlineStr">
        <is>
          <t>Ajouter des images du logiciel avec mise en avant des points mentionnés</t>
        </is>
      </c>
      <c r="J8" s="21" t="inlineStr">
        <is>
          <t>Captures du guide avec les points mis en évidence : à faire (PR à venir).</t>
        </is>
      </c>
    </row>
    <row r="9" ht="25.5" customHeight="1">
      <c r="A9" s="4" t="n">
        <v>5</v>
      </c>
      <c r="B9" s="5" t="inlineStr">
        <is>
          <t>A. Installation et menus</t>
        </is>
      </c>
      <c r="C9" s="4" t="inlineStr">
        <is>
          <t>25</t>
        </is>
      </c>
      <c r="D9" s="5" t="inlineStr">
        <is>
          <t>Préférences &gt; Raccourcis : passer « Nouveau projet » en Ctrl+Maj+N ; donner Ctrl+S à « Ouvrir » ; puis « Tout rétablir ».</t>
        </is>
      </c>
      <c r="E9" s="5" t="inlineStr">
        <is>
          <t>Nouveau raccourci affiché dans le menu Fichier et actif ; message « Ctrl+S retiré de Enregistrer » ; défauts rétablis.</t>
        </is>
      </c>
      <c r="F9" s="6" t="inlineStr">
        <is>
          <t>Oui</t>
        </is>
      </c>
      <c r="G9" s="6" t="inlineStr">
        <is>
          <t>OK</t>
        </is>
      </c>
      <c r="H9" s="7" t="n">
        <v>46317</v>
      </c>
      <c r="I9" s="8" t="inlineStr">
        <is>
          <t>RAS</t>
        </is>
      </c>
      <c r="J9" s="19" t="n"/>
    </row>
    <row r="10" ht="63.75" customHeight="1">
      <c r="A10" s="4" t="n">
        <v>6</v>
      </c>
      <c r="B10" s="5" t="inlineStr">
        <is>
          <t>A. Installation et menus</t>
        </is>
      </c>
      <c r="C10" s="4" t="inlineStr">
        <is>
          <t>25</t>
        </is>
      </c>
      <c r="D10" s="5" t="inlineStr">
        <is>
          <t>Changer les valeurs des onglets OFFLOAD, PLAYER, TRANSCODE des Préférences, puis Général &gt; « Remettre à zéro maintenant ».</t>
        </is>
      </c>
      <c r="E10" s="5" t="inlineStr">
        <is>
          <t>Les onglets de travail reprennent les valeurs des Préférences.</t>
        </is>
      </c>
      <c r="F10" s="6" t="inlineStr">
        <is>
          <t>Oui</t>
        </is>
      </c>
      <c r="G10" s="6" t="inlineStr">
        <is>
          <t>OK</t>
        </is>
      </c>
      <c r="H10" s="7" t="n">
        <v>46317</v>
      </c>
      <c r="I10" s="8" t="inlineStr">
        <is>
          <t>RAS</t>
        </is>
      </c>
      <c r="J10" s="20" t="inlineStr">
        <is>
          <t>Corrigé : bouton « Valider » (applique tout de suite aux onglets et lecteurs ouverts), « Annuler », « Valeurs d'usine » par rubrique. « Remettre à zéro maintenant » renommé « Vider l'état de travail » : il vide les destinations et dossiers en cours, pas les Préférences. À refaire dans le nouveau build.</t>
        </is>
      </c>
    </row>
    <row r="11">
      <c r="A11" s="4" t="n">
        <v>7</v>
      </c>
      <c r="B11" s="5" t="inlineStr">
        <is>
          <t>B. OFFLOAD</t>
        </is>
      </c>
      <c r="C11" s="4" t="inlineStr">
        <is>
          <t>21</t>
        </is>
      </c>
      <c r="D11" s="5" t="inlineStr">
        <is>
          <t>Brancher le disque externe USB.</t>
        </is>
      </c>
      <c r="E11" s="5" t="inlineStr">
        <is>
          <t>Le disque apparaît comme amovible dans l'explorateur.</t>
        </is>
      </c>
      <c r="F11" s="6" t="inlineStr">
        <is>
          <t>Oui</t>
        </is>
      </c>
      <c r="G11" s="6" t="inlineStr">
        <is>
          <t>OK</t>
        </is>
      </c>
      <c r="H11" s="7" t="n">
        <v>46317</v>
      </c>
      <c r="I11" s="8" t="inlineStr">
        <is>
          <t>RAS</t>
        </is>
      </c>
      <c r="J11" s="19" t="n"/>
    </row>
    <row r="12" ht="25.5" customHeight="1">
      <c r="A12" s="4" t="n">
        <v>8</v>
      </c>
      <c r="B12" s="5" t="inlineStr">
        <is>
          <t>B. OFFLOAD</t>
        </is>
      </c>
      <c r="C12" s="4" t="inlineStr">
        <is>
          <t>32</t>
        </is>
      </c>
      <c r="D12" s="5" t="inlineStr">
        <is>
          <t>Bloc « Rapport PDF » : choisir un logo (PNG transparent si possible), laisser « Vignettes des vidéos » cochée.</t>
        </is>
      </c>
      <c r="E12" s="5" t="inlineStr">
        <is>
          <t>Réglages acceptés et mémorisés.</t>
        </is>
      </c>
      <c r="F12" s="6" t="inlineStr">
        <is>
          <t>Oui</t>
        </is>
      </c>
      <c r="G12" s="6" t="inlineStr">
        <is>
          <t>OK</t>
        </is>
      </c>
      <c r="H12" s="7" t="n">
        <v>46317</v>
      </c>
      <c r="I12" s="8" t="inlineStr">
        <is>
          <t>RAS</t>
        </is>
      </c>
      <c r="J12" s="19" t="n"/>
    </row>
    <row r="13" ht="25.5" customHeight="1">
      <c r="A13" s="4" t="n">
        <v>9</v>
      </c>
      <c r="B13" s="5" t="inlineStr">
        <is>
          <t>B. OFFLOAD</t>
        </is>
      </c>
      <c r="C13" s="4" t="inlineStr">
        <is>
          <t>33</t>
        </is>
      </c>
      <c r="D13" s="5" t="inlineStr">
        <is>
          <t>Cocher « Horodatage certifié RFC 3161 » (PC connecté à Internet).</t>
        </is>
      </c>
      <c r="E13" s="5" t="inlineStr">
        <is>
          <t>Option cochée, adresse DigiCert proposée.</t>
        </is>
      </c>
      <c r="F13" s="6" t="inlineStr">
        <is>
          <t>Oui</t>
        </is>
      </c>
      <c r="G13" s="6" t="inlineStr">
        <is>
          <t>OK</t>
        </is>
      </c>
      <c r="H13" s="7" t="n">
        <v>46317</v>
      </c>
      <c r="I13" s="8" t="inlineStr">
        <is>
          <t>RAS</t>
        </is>
      </c>
      <c r="J13" s="19" t="n"/>
    </row>
    <row r="14" ht="38.25" customHeight="1">
      <c r="A14" s="4" t="n">
        <v>10</v>
      </c>
      <c r="B14" s="5" t="inlineStr">
        <is>
          <t>B. OFFLOAD</t>
        </is>
      </c>
      <c r="C14" s="4" t="inlineStr">
        <is>
          <t>31</t>
        </is>
      </c>
      <c r="D14" s="5" t="inlineStr">
        <is>
          <t>Reconnaissance de carte : choisir comme source un dossier qui a gardé la structure d'une carte caméra (dossier PRIVATE/M4ROOT de Sony, fichiers .R3D de RED, clips A001C001... d'ARRI). Puis modèle d'arborescence {date}/{camera}/{bobine} et lecture de l'aperçu du chemin.</t>
        </is>
      </c>
      <c r="E14" s="5" t="inlineStr">
        <is>
          <t>Sous la source : « Carte reconnue : &lt;type&gt;, bobine &lt;nom&gt; ». L'aperçu du chemin reprend la lettre de caméra et la bobine. Sans structure de carte : rien d'affiché, {bobine} prend le nom du dossier.</t>
        </is>
      </c>
      <c r="F14" s="6" t="inlineStr">
        <is>
          <t>Oui</t>
        </is>
      </c>
      <c r="G14" s="6" t="inlineStr">
        <is>
          <t>OK</t>
        </is>
      </c>
      <c r="H14" s="7" t="n">
        <v>46318</v>
      </c>
      <c r="I14" s="8" t="inlineStr">
        <is>
          <t>RAS</t>
        </is>
      </c>
      <c r="J14" s="20" t="inlineStr">
        <is>
          <t>Test reformulé (colonne Action) : il vérifie que VERIFLOW reconnaît le type de carte d'après ses dossiers. Sans carte caméra, ou sans dossier qui a gardé la structure d'origine, marque « Non testable » et vérifie seulement l'aperçu du chemin.</t>
        </is>
      </c>
    </row>
    <row r="15" ht="38.25" customHeight="1">
      <c r="A15" s="4" t="n">
        <v>11</v>
      </c>
      <c r="B15" s="5" t="inlineStr">
        <is>
          <t>B. OFFLOAD</t>
        </is>
      </c>
      <c r="C15" s="4" t="inlineStr">
        <is>
          <t>21, 31, 32, 33</t>
        </is>
      </c>
      <c r="D15" s="5" t="inlineStr">
        <is>
          <t>Copier un dossier de rushes vers le disque interne, « Éjecter la source après la copie » cochée.</t>
        </is>
      </c>
      <c r="E15" s="5" t="inlineStr">
        <is>
          <t>Dossier créé conforme à l'aperçu ; PDF avec logo et vignettes ; date certifiée sur la carte de la copie et fichier .pdf.tsr à côté du PDF ; « Source éjectée » sans fermer VERIFLOW.</t>
        </is>
      </c>
      <c r="F15" s="6" t="inlineStr">
        <is>
          <t>Oui</t>
        </is>
      </c>
      <c r="G15" s="6" t="inlineStr">
        <is>
          <t>OK</t>
        </is>
      </c>
      <c r="H15" s="7" t="n">
        <v>46317</v>
      </c>
      <c r="I15" s="8" t="inlineStr">
        <is>
          <t>Dans l'explorer de Veriflow, il y a un icone "ejecter" à côté des disques externes, cartes…etc, il faudrait que cet icône permette aussi d'éjecter ces supports en toute sécurité</t>
        </is>
      </c>
      <c r="J15" s="21" t="inlineStr">
        <is>
          <t>Bouton ⏏ de l'explorateur : fait, voir test 30 (build du 24/10 (run 40104706786)).</t>
        </is>
      </c>
    </row>
    <row r="16" ht="25.5" customHeight="1">
      <c r="A16" s="4" t="n">
        <v>12</v>
      </c>
      <c r="B16" s="5" t="inlineStr">
        <is>
          <t>B. OFFLOAD</t>
        </is>
      </c>
      <c r="C16" s="4" t="inlineStr">
        <is>
          <t>33</t>
        </is>
      </c>
      <c r="D16" s="5" t="inlineStr">
        <is>
          <t>Rebrancher le disque, couper le Wi-Fi, refaire une petite copie.</t>
        </is>
      </c>
      <c r="E16" s="5" t="inlineStr">
        <is>
          <t>Rapports écrits ; « Horodatage impossible » affiché avec la cause.</t>
        </is>
      </c>
      <c r="F16" s="6" t="inlineStr">
        <is>
          <t>Oui</t>
        </is>
      </c>
      <c r="G16" s="6" t="inlineStr">
        <is>
          <t>OK</t>
        </is>
      </c>
      <c r="H16" s="7" t="n">
        <v>46317</v>
      </c>
      <c r="I16" s="8" t="inlineStr">
        <is>
          <t>RAS</t>
        </is>
      </c>
      <c r="J16" s="19" t="n"/>
    </row>
    <row r="17" ht="25.5" customHeight="1">
      <c r="A17" s="4" t="n">
        <v>13</v>
      </c>
      <c r="B17" s="5" t="inlineStr">
        <is>
          <t>B. OFFLOAD</t>
        </is>
      </c>
      <c r="C17" s="4" t="inlineStr">
        <is>
          <t>21</t>
        </is>
      </c>
      <c r="D17" s="5" t="inlineStr">
        <is>
          <t>Refaire une copie avec un fichier de la source ouvert dans un autre logiciel.</t>
        </is>
      </c>
      <c r="E17" s="5" t="inlineStr">
        <is>
          <t>Message « encore utilisé par un autre programme » ; le disque reste visible.</t>
        </is>
      </c>
      <c r="F17" s="6" t="inlineStr">
        <is>
          <t>Oui</t>
        </is>
      </c>
      <c r="G17" s="6" t="inlineStr">
        <is>
          <t>OK</t>
        </is>
      </c>
      <c r="H17" s="7" t="n">
        <v>46317</v>
      </c>
      <c r="I17" s="8" t="inlineStr">
        <is>
          <t>RAS</t>
        </is>
      </c>
      <c r="J17" s="20" t="inlineStr">
        <is>
          <t>À refaire après le test 11.</t>
        </is>
      </c>
    </row>
    <row r="18" ht="63.75" customHeight="1">
      <c r="A18" s="4" t="n">
        <v>14</v>
      </c>
      <c r="B18" s="5" t="inlineStr">
        <is>
          <t>C. MEDIA et second écran</t>
        </is>
      </c>
      <c r="C18" s="4" t="inlineStr">
        <is>
          <t>35</t>
        </is>
      </c>
      <c r="D18" s="5" t="inlineStr">
        <is>
          <t>Double-clic sur un rush vidéo ; glisser la fenêtre sur la TV, la redimensionner ; Échap ; rouvrir.</t>
        </is>
      </c>
      <c r="E18" s="5" t="inlineStr">
        <is>
          <t>Vraie fenêtre système ; elle revient sur la TV, à la même taille.</t>
        </is>
      </c>
      <c r="F18" s="6" t="inlineStr">
        <is>
          <t>Oui</t>
        </is>
      </c>
      <c r="G18" s="6" t="inlineStr">
        <is>
          <t>Partiel</t>
        </is>
      </c>
      <c r="H18" s="7" t="n">
        <v>46319</v>
      </c>
      <c r="I18" s="8" t="inlineStr">
        <is>
          <t>Fenêtre glissée sur le 2e écran, double clic dans la barre du haut pour adapter à la taille de l'écran (pas en plein écran, juste fenêtre adaptée). Echap, ferme le lecteur pop-up. Double clic sur le même rush, le lecteur pop-up se rouvre sur le 1er écran, pas sur le 2e</t>
        </is>
      </c>
      <c r="J18" s="21" t="inlineStr">
        <is>
          <t>Corrigé : place mémorisée en pixels réels et fenêtre agrandie rétablie sur le même écran. À refaire avec le build du 24/10 (run 40104706786).</t>
        </is>
      </c>
    </row>
    <row r="19" ht="25.5" customHeight="1">
      <c r="A19" s="4" t="n">
        <v>15</v>
      </c>
      <c r="B19" s="5" t="inlineStr">
        <is>
          <t>C. MEDIA et second écran</t>
        </is>
      </c>
      <c r="C19" s="4" t="inlineStr">
        <is>
          <t>35</t>
        </is>
      </c>
      <c r="D19" s="5" t="inlineStr">
        <is>
          <t>Double-clic sur un autre rush pendant que la fenêtre est ouverte.</t>
        </is>
      </c>
      <c r="E19" s="5" t="inlineStr">
        <is>
          <t>La même fenêtre recharge le nouveau rush.</t>
        </is>
      </c>
      <c r="F19" s="6" t="inlineStr">
        <is>
          <t>Oui</t>
        </is>
      </c>
      <c r="G19" s="6" t="inlineStr">
        <is>
          <t>OK</t>
        </is>
      </c>
      <c r="H19" s="7" t="n">
        <v>46319</v>
      </c>
      <c r="I19" s="8" t="inlineStr">
        <is>
          <t>Même protocole, pas en plein écran, juste fenêtre adaptée, la fenêtre reste bien en place et lance le 2e rush</t>
        </is>
      </c>
      <c r="J19" s="19" t="n"/>
    </row>
    <row r="20" ht="63.75" customHeight="1">
      <c r="A20" s="4" t="n">
        <v>16</v>
      </c>
      <c r="B20" s="5" t="inlineStr">
        <is>
          <t>C. MEDIA et second écran</t>
        </is>
      </c>
      <c r="C20" s="4" t="inlineStr">
        <is>
          <t>35, 17</t>
        </is>
      </c>
      <c r="D20" s="5" t="inlineStr">
        <is>
          <t>Sortie moniteur sur la TV depuis le lecteur rapide ; bouger puis immobiliser la souris sur la TV ; puis sortie moniteur depuis le PLAYER.</t>
        </is>
      </c>
      <c r="E20" s="5" t="inlineStr">
        <is>
          <t>Curseur masqué après 2 s d'immobilité, visible dès qu'il bouge ; un seul lecteur alimente la TV.</t>
        </is>
      </c>
      <c r="F20" s="6" t="inlineStr">
        <is>
          <t>Oui</t>
        </is>
      </c>
      <c r="G20" s="6" t="inlineStr">
        <is>
          <t>Partiel</t>
        </is>
      </c>
      <c r="H20" s="7" t="n">
        <v>46319</v>
      </c>
      <c r="I20" s="8" t="inlineStr">
        <is>
          <t>Lecteur pop-up déplacé sur le 2e écran, sortie TV choisie, affichage plein écran. Curseur souris disparait au bout de 2 sec et réapparait si je le bouge, mais de contrôle de lecture possible avec espace : le contrôle est resté sur le choix du moniteur !</t>
        </is>
      </c>
      <c r="J20" s="21" t="inlineStr">
        <is>
          <t>Corrigé : après le choix du moniteur, le clavier revient au lecteur (Espace, J/K/L). À refaire avec le build du 24/10 (run 40104706786).</t>
        </is>
      </c>
    </row>
    <row r="21" ht="63.75" customHeight="1">
      <c r="A21" s="4" t="n">
        <v>17</v>
      </c>
      <c r="B21" s="5" t="inlineStr">
        <is>
          <t>C. MEDIA et second écran</t>
        </is>
      </c>
      <c r="C21" s="4" t="inlineStr">
        <is>
          <t>35</t>
        </is>
      </c>
      <c r="D21" s="5" t="inlineStr">
        <is>
          <t>Débrancher la TV, rouvrir le lecteur rapide.</t>
        </is>
      </c>
      <c r="E21" s="5" t="inlineStr">
        <is>
          <t>La fenêtre s'ouvre au centre de l'écran du portable.</t>
        </is>
      </c>
      <c r="F21" s="6" t="inlineStr">
        <is>
          <t>Oui</t>
        </is>
      </c>
      <c r="G21" s="6" t="inlineStr">
        <is>
          <t>Partiel</t>
        </is>
      </c>
      <c r="H21" s="7" t="n">
        <v>46319</v>
      </c>
      <c r="I21" s="8" t="inlineStr">
        <is>
          <t>Lecteur pop-up ouvert sur le 2e écran. Je débranche le 2e écran, le lecteur revient sur l'écran principal. Je ferme le lecteur pop-up, je double clic sur un rush, le lecteur pop-up s'ouvre sur l'écran principal (toujours pas de 2e écran branché) mais message d'erreur audio (voir capture)</t>
        </is>
      </c>
      <c r="J21" s="21" t="inlineStr">
        <is>
          <t>Corrigé : la carte son est ouverte sur un fil neuf (erreur « mode thread » de Windows). À refaire avec le build du 24/10 (run 40104706786).</t>
        </is>
      </c>
    </row>
    <row r="22" ht="127.5" customHeight="1">
      <c r="A22" s="4" t="n">
        <v>18</v>
      </c>
      <c r="B22" s="5" t="inlineStr">
        <is>
          <t>C. MEDIA et second écran</t>
        </is>
      </c>
      <c r="C22" s="4" t="inlineStr">
        <is>
          <t>34</t>
        </is>
      </c>
      <c r="D22" s="5" t="inlineStr">
        <is>
          <t>Seulement avec un WAV de plus de 4 Go : modifier la scène ou un nom de piste, faire la copie de travail, l'ouvrir dans Reaper, Resolve ou Pro Tools.</t>
        </is>
      </c>
      <c r="E22" s="5" t="inlineStr">
        <is>
          <t>Durée, pistes et métadonnées justes.</t>
        </is>
      </c>
      <c r="F22" s="6" t="inlineStr">
        <is>
          <t>Oui</t>
        </is>
      </c>
      <c r="G22" s="6" t="inlineStr">
        <is>
          <t>Partiel</t>
        </is>
      </c>
      <c r="H22" s="7" t="n">
        <v>46319</v>
      </c>
      <c r="I22" s="8" t="inlineStr">
        <is>
          <t>Test sur média plus petit, player pop-up, le son arrive au bout de quelques secondes après le début de lecture.
Metadata : l'enregistrement des modif ne se fait que par un clic sur le bouton enregistrer, il faut ajouter la validation par la touche Return et la touche entrée du pavé numérique du clavier + bouton enregistrer superposé à la colonne de manière non esthétique. Dans la fenêtre centrale, le TC n'est pas affiché. (voir capture) + impossible de redimenssioner les colonnes à la main ni changer qeulle colonne sont visible/invisible</t>
        </is>
      </c>
      <c r="J22" s="21" t="inlineStr">
        <is>
          <t>Corrigé : Entrée (clavier et pavé numérique), barre Enregistrer, TC des WAV : voir test 34. Son en retard : à revérifier avec le build du 24/10 (run 40104706786) (peut venir de l'erreur audio du test 17). Colonnes réglables et masquables : à faire (PR à venir).</t>
        </is>
      </c>
    </row>
    <row r="23" ht="25.5" customHeight="1">
      <c r="A23" s="4" t="n">
        <v>19</v>
      </c>
      <c r="B23" s="5" t="inlineStr">
        <is>
          <t>D. PLAYER</t>
        </is>
      </c>
      <c r="C23" s="4" t="inlineStr">
        <is>
          <t>30</t>
        </is>
      </c>
      <c r="D23" s="5" t="inlineStr">
        <is>
          <t>Vidéo de smartphone avec un clap : lecture depuis le début, puis après un saut au milieu.</t>
        </is>
      </c>
      <c r="E23" s="5" t="inlineStr">
        <is>
          <t>Son synchrone dans les deux cas.</t>
        </is>
      </c>
      <c r="F23" s="6" t="inlineStr">
        <is>
          <t>Non</t>
        </is>
      </c>
      <c r="G23" s="6" t="n"/>
      <c r="H23" s="7" t="n"/>
      <c r="I23" s="8" t="n"/>
      <c r="J23" s="19" t="n"/>
    </row>
    <row r="24" ht="153" customHeight="1">
      <c r="A24" s="4" t="n">
        <v>20</v>
      </c>
      <c r="B24" s="5" t="inlineStr">
        <is>
          <t>D. PLAYER</t>
        </is>
      </c>
      <c r="C24" s="4" t="inlineStr">
        <is>
          <t>29</t>
        </is>
      </c>
      <c r="D24" s="5" t="inlineStr">
        <is>
          <t>1. Préférences &gt; PLAYER : cocher « Ouvrir la saisie du rapport à chaque nouvelle prise », puis Valider. 2. Ouvrir un projet. 3. Dans MEDIA, ouvrir un clip dans le PLAYER. 4. Fermer la saisie (Échap), ouvrir un AUTRE clip dans le PLAYER. 5. Rouvrir le MÊME clip.</t>
        </is>
      </c>
      <c r="E24" s="5" t="inlineStr">
        <is>
          <t>Étape 3 et 4 : la fenêtre de saisie du rapport (touche R) s'ouvre seule. Étape 5 : elle ne s'ouvre pas.</t>
        </is>
      </c>
      <c r="F24" s="6" t="inlineStr">
        <is>
          <t>Oui</t>
        </is>
      </c>
      <c r="G24" s="6" t="inlineStr">
        <is>
          <t>Partiel</t>
        </is>
      </c>
      <c r="H24" s="7" t="n">
        <v>46319</v>
      </c>
      <c r="I24" s="8" t="inlineStr">
        <is>
          <t>Création d'un projet, nom du projet pas centré sur le haut de la fenêtre. Case cochée dans les préférences. Je n'ai pas compris la suite du protocole. Explique moi pas à pas.
J'ai essayé d'ouvrir plusieurs rushes audio dans l'onglet PLAYER : ils sont tous ouverts en même temps et l'affichage de l'application s'est décalé. Pour pouvoir lire plusieurs rushes dans PLAYER, il faut créer un système de liste de lecture.
Dans les consles audio du PLAYER, le clic sur les boutons SOLO et/ou MUTE ne fais que noircir le bouton, il faut qu'il passe en couleur pour le mettre en évidence.</t>
        </is>
      </c>
      <c r="J24" s="21" t="inlineStr">
        <is>
          <t>Test réécrit pas à pas (colonne Action). Projet centré et SOLO/MUTE : voir tests 32 et 33. Liste de lecture du PLAYER : à faire (PR à venir).</t>
        </is>
      </c>
    </row>
    <row r="25" ht="25.5" customHeight="1">
      <c r="A25" s="4" t="n">
        <v>21</v>
      </c>
      <c r="B25" s="5" t="inlineStr">
        <is>
          <t>D. PLAYER</t>
        </is>
      </c>
      <c r="C25" s="4" t="inlineStr">
        <is>
          <t>5 (en attente)</t>
        </is>
      </c>
      <c r="D25" s="5" t="inlineStr">
        <is>
          <t>Ouvrir un rush vidéo avec du LTC sur une piste audio.</t>
        </is>
      </c>
      <c r="E25" s="5" t="inlineStr">
        <is>
          <t>Piste LTC coupée ; trois choix proposés : laisser coupée, baisser de 30 dB, réactiver.</t>
        </is>
      </c>
      <c r="F25" s="6" t="inlineStr">
        <is>
          <t>Oui</t>
        </is>
      </c>
      <c r="G25" s="6" t="inlineStr">
        <is>
          <t>OK</t>
        </is>
      </c>
      <c r="H25" s="7" t="n">
        <v>46319</v>
      </c>
      <c r="I25" s="8" t="inlineStr">
        <is>
          <t>RAS</t>
        </is>
      </c>
      <c r="J25" s="19" t="n"/>
    </row>
    <row r="26" ht="25.5" customHeight="1">
      <c r="A26" s="4" t="n">
        <v>22</v>
      </c>
      <c r="B26" s="5" t="inlineStr">
        <is>
          <t>E. SYNC</t>
        </is>
      </c>
      <c r="C26" s="4" t="inlineStr">
        <is>
          <t>SYNC</t>
        </is>
      </c>
      <c r="D26" s="5" t="inlineStr">
        <is>
          <t>Analyse vidéo et son : un cas avec TC, si possible un cas avec seulement du LTC sur une piste audio.</t>
        </is>
      </c>
      <c r="E26" s="5" t="inlineStr">
        <is>
          <t>Paires trouvées et calées (noter les cas non trouvés).</t>
        </is>
      </c>
      <c r="F26" s="6" t="inlineStr">
        <is>
          <t>Non</t>
        </is>
      </c>
      <c r="G26" s="6" t="n"/>
      <c r="H26" s="7" t="n"/>
      <c r="I26" s="8" t="n"/>
      <c r="J26" s="19" t="n"/>
    </row>
    <row r="27">
      <c r="A27" s="4" t="n">
        <v>23</v>
      </c>
      <c r="B27" s="5" t="inlineStr">
        <is>
          <t>E. SYNC</t>
        </is>
      </c>
      <c r="C27" s="4" t="inlineStr">
        <is>
          <t>20</t>
        </is>
      </c>
      <c r="D27" s="5" t="inlineStr">
        <is>
          <t>Ouvrir le détail d'une paire, faire défiler la colonne de gauche.</t>
        </is>
      </c>
      <c r="E27" s="5" t="inlineStr">
        <is>
          <t>Seule la colonne de gauche défile ; l'explorateur ne bouge pas.</t>
        </is>
      </c>
      <c r="F27" s="6" t="inlineStr">
        <is>
          <t>Non</t>
        </is>
      </c>
      <c r="G27" s="6" t="n"/>
      <c r="H27" s="7" t="n"/>
      <c r="I27" s="8" t="n"/>
      <c r="J27" s="19" t="n"/>
    </row>
    <row r="28" ht="51" customHeight="1">
      <c r="A28" s="4" t="n">
        <v>24</v>
      </c>
      <c r="B28" s="5" t="inlineStr">
        <is>
          <t>E. SYNC</t>
        </is>
      </c>
      <c r="C28" s="4" t="inlineStr">
        <is>
          <t>23</t>
        </is>
      </c>
      <c r="D28" s="5" t="inlineStr">
        <is>
          <t>Re-wrap « Dans un dossier ».</t>
        </is>
      </c>
      <c r="E28" s="5" t="inlineStr">
        <is>
          <t>Fichiers _sync créés dans le dossier choisi.</t>
        </is>
      </c>
      <c r="F28" s="6" t="inlineStr">
        <is>
          <t>Oui</t>
        </is>
      </c>
      <c r="G28" s="6" t="inlineStr">
        <is>
          <t>Partiel</t>
        </is>
      </c>
      <c r="H28" s="7" t="n">
        <v>46319</v>
      </c>
      <c r="I28" s="8" t="inlineStr">
        <is>
          <t>Mode AUDIO : pas de choix du dossier pour les fichier resynchro - direct dans le dossier des rushes vidéo. Fichiers resynchro ouvert dans Resolve : que de l'audio, pas de vidéo.</t>
        </is>
      </c>
      <c r="J28" s="21" t="inlineStr">
        <is>
          <t>Image absente dans Resolve : limite de Resolve gratuit (H.264 10 bits 4:2:2), lu dans Premiere. Mauvais son : corrigé, voir tests 35 à 37. Choix du dossier en mode AUDIO : envoie-moi une capture de la colonne de droite si le problème revient.</t>
        </is>
      </c>
    </row>
    <row r="29">
      <c r="A29" s="4" t="n">
        <v>25</v>
      </c>
      <c r="B29" s="5" t="inlineStr">
        <is>
          <t>E. SYNC</t>
        </is>
      </c>
      <c r="C29" s="4" t="inlineStr">
        <is>
          <t>27</t>
        </is>
      </c>
      <c r="D29" s="5" t="inlineStr">
        <is>
          <t>Passer l'interface en anglais (Préférences &gt; Général &gt; Langue).</t>
        </is>
      </c>
      <c r="E29" s="5" t="inlineStr">
        <is>
          <t>Remarques des paires affichées en anglais.</t>
        </is>
      </c>
      <c r="F29" s="6" t="inlineStr">
        <is>
          <t>Oui</t>
        </is>
      </c>
      <c r="G29" s="6" t="inlineStr">
        <is>
          <t>OK</t>
        </is>
      </c>
      <c r="H29" s="7" t="n">
        <v>46319</v>
      </c>
      <c r="I29" s="8" t="inlineStr">
        <is>
          <t>RAS</t>
        </is>
      </c>
      <c r="J29" s="19" t="n"/>
    </row>
    <row r="30" ht="38.25" customHeight="1">
      <c r="A30" s="4" t="n">
        <v>26</v>
      </c>
      <c r="B30" s="5" t="inlineStr">
        <is>
          <t>F. TRANSCODE</t>
        </is>
      </c>
      <c r="C30" s="4" t="inlineStr">
        <is>
          <t>28</t>
        </is>
      </c>
      <c r="D30" s="5" t="inlineStr">
        <is>
          <t>1. Resolve : titre (texte blanc) sur une timeline vide. 2. Deliver : QuickTime, Apple ProRes 4444, « Export Alpha » coché. 3. TRANSCODE : ajouter ce fichier, préréglage ProRes 4444, lancer. 4. Refaire avec le préréglage PNG. 5. Réimporter les deux dans Resolve, au-dessus d'une image.</t>
        </is>
      </c>
      <c r="E30" s="5" t="inlineStr">
        <is>
          <t>Le texte est détouré sur l'image (fond transparent). Fond noir = transparence perdue.</t>
        </is>
      </c>
      <c r="F30" s="6" t="inlineStr">
        <is>
          <t>Non</t>
        </is>
      </c>
      <c r="G30" s="6" t="n"/>
      <c r="H30" s="7" t="n"/>
      <c r="I30" s="8" t="inlineStr">
        <is>
          <t>Je ne comprends pas, explique pas à pas</t>
        </is>
      </c>
      <c r="J30" s="21" t="inlineStr">
        <is>
          <t>Test réécrit pas à pas (colonne Action).</t>
        </is>
      </c>
    </row>
    <row r="31" ht="38.25" customHeight="1">
      <c r="A31" s="4" t="n">
        <v>27</v>
      </c>
      <c r="B31" s="5" t="inlineStr">
        <is>
          <t>F. TRANSCODE</t>
        </is>
      </c>
      <c r="C31" s="4" t="inlineStr">
        <is>
          <t>36</t>
        </is>
      </c>
      <c r="D31" s="5" t="inlineStr">
        <is>
          <t>1. TRANSCODE &gt; Incrustations : « Créer des sous-titres », saisir deux sous-titres, enregistrer en ASS. 2. Rouvrir ce fichier avec « Éditer », corriger un texte et un temps, enregistrer. 3. Cocher l'incrustation de ce fichier sur une vidéo et lancer. 4. (Si Aegisub) ouvrir le fichier.</t>
        </is>
      </c>
      <c r="E31" s="5" t="inlineStr">
        <is>
          <t>Corrections conservées à la réouverture ; sous-titres visibles à l'image aux bons temps ; styles intacts dans Aegisub.</t>
        </is>
      </c>
      <c r="F31" s="6" t="inlineStr">
        <is>
          <t>Non</t>
        </is>
      </c>
      <c r="G31" s="6" t="n"/>
      <c r="H31" s="7" t="n"/>
      <c r="I31" s="8" t="inlineStr">
        <is>
          <t>Je ne comprends pas, explique pas à pas</t>
        </is>
      </c>
      <c r="J31" s="21" t="inlineStr">
        <is>
          <t>Test réécrit pas à pas (colonne Action).</t>
        </is>
      </c>
    </row>
    <row r="32" ht="25.5" customHeight="1">
      <c r="A32" s="4" t="n">
        <v>28</v>
      </c>
      <c r="B32" s="5" t="inlineStr">
        <is>
          <t>G. Fin : données et désinstallation</t>
        </is>
      </c>
      <c r="C32" s="4" t="inlineStr">
        <is>
          <t>24</t>
        </is>
      </c>
      <c r="D32" s="5" t="inlineStr">
        <is>
          <t>Préférences &gt; Général &gt; liste « À l'ouverture de VERIFLOW » : choisir « Repartir à zéro ». Fermer puis rouvrir VERIFLOW.</t>
        </is>
      </c>
      <c r="E32" s="5" t="inlineStr">
        <is>
          <t>État de travail vide (destinations, dossiers dépliés) ; langue et favoris conservés.</t>
        </is>
      </c>
      <c r="F32" s="6" t="inlineStr">
        <is>
          <t>Oui</t>
        </is>
      </c>
      <c r="G32" s="6" t="inlineStr">
        <is>
          <t>Non testable</t>
        </is>
      </c>
      <c r="H32" s="7" t="n">
        <v>46319</v>
      </c>
      <c r="I32" s="8" t="inlineStr">
        <is>
          <t>Il n'y a plus l'option "repartir de zéro", seulement "vider l'état de travail" ou "Effacer toutes les données"</t>
        </is>
      </c>
      <c r="J32" s="21" t="inlineStr">
        <is>
          <t>L'option est dans la liste déroulante « À l'ouverture de VERIFLOW » (Préférences &gt; Général), au-dessus des deux boutons. À refaire.</t>
        </is>
      </c>
    </row>
    <row r="33" ht="38.25" customHeight="1">
      <c r="A33" s="4" t="n">
        <v>29</v>
      </c>
      <c r="B33" s="5" t="inlineStr">
        <is>
          <t>G. Fin : données et désinstallation</t>
        </is>
      </c>
      <c r="C33" s="4" t="inlineStr">
        <is>
          <t>24</t>
        </is>
      </c>
      <c r="D33" s="5" t="inlineStr">
        <is>
          <t>Désinstaller par Paramètres &gt; Applications, case « Supprimer les données de l'application » cochée ; réinstaller.</t>
        </is>
      </c>
      <c r="E33" s="5" t="inlineStr">
        <is>
          <t>Plus aucune destination OFFLOAD.</t>
        </is>
      </c>
      <c r="F33" s="6" t="inlineStr">
        <is>
          <t>Oui</t>
        </is>
      </c>
      <c r="G33" s="6" t="inlineStr">
        <is>
          <t>Partiel</t>
        </is>
      </c>
      <c r="H33" s="7" t="n">
        <v>46319</v>
      </c>
      <c r="I33" s="8" t="inlineStr">
        <is>
          <t>Il faut que l'install se fasse dans le dossier Programme et non dans le dossier AppData (voir capture). Sinon, logiciel bien réintsallé à zéro.</t>
        </is>
      </c>
      <c r="J33" s="21" t="inlineStr">
        <is>
          <t>Corrigé : installation dans C:\Program Files\VERIFLOW (droits administrateur demandés). Désinstalle d'abord l'ancienne version (AppData). À refaire avec le build du 24/10 (run 40104706786).</t>
        </is>
      </c>
    </row>
    <row r="34">
      <c r="A34" s="22" t="n">
        <v>30</v>
      </c>
      <c r="B34" s="23" t="inlineStr">
        <is>
          <t>B. OFFLOAD</t>
        </is>
      </c>
      <c r="C34" s="22" t="inlineStr">
        <is>
          <t>21</t>
        </is>
      </c>
      <c r="D34" s="23" t="inlineStr">
        <is>
          <t>Explorateur : cliquer sur le bouton ⏏ à côté d'un disque externe ou d'une carte.</t>
        </is>
      </c>
      <c r="E34" s="23" t="inlineStr">
        <is>
          <t>Barre d'état : « Éjecté, tu peux le débrancher ». Le disque disparaît de l'explorateur. En cas de refus, le message donne la raison de Windows.</t>
        </is>
      </c>
      <c r="F34" s="24" t="inlineStr">
        <is>
          <t>Non</t>
        </is>
      </c>
      <c r="G34" s="24" t="inlineStr"/>
      <c r="H34" s="25" t="n"/>
      <c r="I34" s="26" t="inlineStr"/>
      <c r="J34" s="27" t="inlineStr">
        <is>
          <t>Nouveau test (correctifs du 24/10).</t>
        </is>
      </c>
    </row>
    <row r="35">
      <c r="A35" s="22" t="n">
        <v>31</v>
      </c>
      <c r="B35" s="23" t="inlineStr">
        <is>
          <t>B. OFFLOAD</t>
        </is>
      </c>
      <c r="C35" s="22" t="inlineStr">
        <is>
          <t>21</t>
        </is>
      </c>
      <c r="D35" s="23" t="inlineStr">
        <is>
          <t>Explorateur : déplier le disque HERVE EDU (F:).</t>
        </is>
      </c>
      <c r="E35" s="23" t="inlineStr">
        <is>
          <t>Les dossiers FOUND.000 à FOUND.004 n'apparaissent plus.</t>
        </is>
      </c>
      <c r="F35" s="24" t="inlineStr">
        <is>
          <t>Non</t>
        </is>
      </c>
      <c r="G35" s="24" t="inlineStr"/>
      <c r="H35" s="25" t="n"/>
      <c r="I35" s="26" t="inlineStr"/>
      <c r="J35" s="27" t="inlineStr">
        <is>
          <t>Nouveau test (correctifs du 24/10).</t>
        </is>
      </c>
    </row>
    <row r="36">
      <c r="A36" s="22" t="n">
        <v>32</v>
      </c>
      <c r="B36" s="23" t="inlineStr">
        <is>
          <t>D. PLAYER</t>
        </is>
      </c>
      <c r="C36" s="22" t="inlineStr">
        <is>
          <t>38</t>
        </is>
      </c>
      <c r="D36" s="23" t="inlineStr">
        <is>
          <t>PLAYER en mode AUDIO : cliquer SOLO puis MUTE sur une piste.</t>
        </is>
      </c>
      <c r="E36" s="23" t="inlineStr">
        <is>
          <t>SOLO en orange, MUTE en rouge quand ils sont actifs.</t>
        </is>
      </c>
      <c r="F36" s="24" t="inlineStr">
        <is>
          <t>Non</t>
        </is>
      </c>
      <c r="G36" s="24" t="inlineStr"/>
      <c r="H36" s="25" t="n"/>
      <c r="I36" s="26" t="inlineStr"/>
      <c r="J36" s="27" t="inlineStr">
        <is>
          <t>Nouveau test (correctifs du 24/10).</t>
        </is>
      </c>
    </row>
    <row r="37">
      <c r="A37" s="22" t="n">
        <v>33</v>
      </c>
      <c r="B37" s="23" t="inlineStr">
        <is>
          <t>A. Installation et menus</t>
        </is>
      </c>
      <c r="C37" s="22" t="inlineStr">
        <is>
          <t>38</t>
        </is>
      </c>
      <c r="D37" s="23" t="inlineStr">
        <is>
          <t>Ouvrir un projet et regarder la barre du haut.</t>
        </is>
      </c>
      <c r="E37" s="23" t="inlineStr">
        <is>
          <t>Nom du projet au centre de la fenêtre.</t>
        </is>
      </c>
      <c r="F37" s="24" t="inlineStr">
        <is>
          <t>Non</t>
        </is>
      </c>
      <c r="G37" s="24" t="inlineStr"/>
      <c r="H37" s="25" t="n"/>
      <c r="I37" s="26" t="inlineStr"/>
      <c r="J37" s="27" t="inlineStr">
        <is>
          <t>Nouveau test (correctifs du 24/10).</t>
        </is>
      </c>
    </row>
    <row r="38">
      <c r="A38" s="22" t="n">
        <v>34</v>
      </c>
      <c r="B38" s="23" t="inlineStr">
        <is>
          <t>C. MEDIA et second écran</t>
        </is>
      </c>
      <c r="C38" s="22" t="inlineStr">
        <is>
          <t>38</t>
        </is>
      </c>
      <c r="D38" s="23" t="inlineStr">
        <is>
          <t>MEDIA : modifier un champ, puis Entrée (clavier principal), puis un autre avec Entrée du pavé numérique. Regarder la barre Enregistrer et la colonne TC en mode AUDIO.</t>
        </is>
      </c>
      <c r="E38" s="23" t="inlineStr">
        <is>
          <t>Enregistré à chaque Entrée ; barre Enregistrer sur toute la largeur, séparée des champs ; TC affiché pour les WAV.</t>
        </is>
      </c>
      <c r="F38" s="24" t="inlineStr">
        <is>
          <t>Non</t>
        </is>
      </c>
      <c r="G38" s="24" t="inlineStr"/>
      <c r="H38" s="25" t="n"/>
      <c r="I38" s="26" t="inlineStr"/>
      <c r="J38" s="27" t="inlineStr">
        <is>
          <t>Nouveau test (correctifs du 24/10).</t>
        </is>
      </c>
    </row>
    <row r="39">
      <c r="A39" s="22" t="n">
        <v>35</v>
      </c>
      <c r="B39" s="23" t="inlineStr">
        <is>
          <t>E. SYNC</t>
        </is>
      </c>
      <c r="C39" s="22" t="inlineStr">
        <is>
          <t>27</t>
        </is>
      </c>
      <c r="D39" s="23" t="inlineStr">
        <is>
          <t>SYNC : un rush vidéo avec LTC sur une piste et son témoin sur l'autre, avec son WAV. Méthode Automatique, Analyser.</t>
        </is>
      </c>
      <c r="E39" s="23" t="inlineStr">
        <is>
          <t>Colonne Méthode : LTC ; badge LTC à côté du timecode ; TC = celui du LTC (pas l'horloge de la Panasonic).</t>
        </is>
      </c>
      <c r="F39" s="24" t="inlineStr">
        <is>
          <t>Non</t>
        </is>
      </c>
      <c r="G39" s="24" t="inlineStr"/>
      <c r="H39" s="25" t="n"/>
      <c r="I39" s="26" t="inlineStr"/>
      <c r="J39" s="27" t="inlineStr">
        <is>
          <t>Nouveau test (correctifs du 24/10).</t>
        </is>
      </c>
    </row>
    <row r="40">
      <c r="A40" s="22" t="n">
        <v>36</v>
      </c>
      <c r="B40" s="23" t="inlineStr">
        <is>
          <t>E. SYNC</t>
        </is>
      </c>
      <c r="C40" s="22" t="inlineStr">
        <is>
          <t>27</t>
        </is>
      </c>
      <c r="D40" s="23" t="inlineStr">
        <is>
          <t>SYNC : tous les rushes Panasonic sans LTC et tous les sons (tests compris), méthode Automatique.</t>
        </is>
      </c>
      <c r="E40" s="23" t="inlineStr">
        <is>
          <t>Bon son pour chaque plan ; remarque « timecode sans rapport avec le son : son retrouvé par la forme d'onde » ; les sons de test restent non utilisés (mode AUDIO).</t>
        </is>
      </c>
      <c r="F40" s="24" t="inlineStr">
        <is>
          <t>Non</t>
        </is>
      </c>
      <c r="G40" s="24" t="inlineStr"/>
      <c r="H40" s="25" t="n"/>
      <c r="I40" s="26" t="inlineStr"/>
      <c r="J40" s="27" t="inlineStr">
        <is>
          <t>Nouveau test (correctifs du 24/10).</t>
        </is>
      </c>
    </row>
    <row r="41">
      <c r="A41" s="22" t="n">
        <v>37</v>
      </c>
      <c r="B41" s="23" t="inlineStr">
        <is>
          <t>E. SYNC</t>
        </is>
      </c>
      <c r="C41" s="22" t="inlineStr">
        <is>
          <t>27</t>
        </is>
      </c>
      <c r="D41" s="23" t="inlineStr">
        <is>
          <t>SYNC : créer les fichiers synchronisés (option « une piste mono par canal » cochée par défaut), puis les ouvrir dans Premiere.</t>
        </is>
      </c>
      <c r="E41" s="23" t="inlineStr">
        <is>
          <t>Image présente ; 6 pistes mono de l'enregistreur + pistes caméra ; son calé sur le clap.</t>
        </is>
      </c>
      <c r="F41" s="24" t="inlineStr">
        <is>
          <t>Non</t>
        </is>
      </c>
      <c r="G41" s="24" t="inlineStr"/>
      <c r="H41" s="25" t="n"/>
      <c r="I41" s="26" t="inlineStr"/>
      <c r="J41" s="27" t="inlineStr">
        <is>
          <t>Nouveau test (correctifs du 24/10).</t>
        </is>
      </c>
    </row>
  </sheetData>
  <autoFilter ref="A4:J41"/>
  <conditionalFormatting sqref="G5:G41">
    <cfRule type="cellIs" priority="1" operator="equal" dxfId="6">
      <formula>"OK"</formula>
    </cfRule>
    <cfRule type="cellIs" priority="2" operator="equal" dxfId="7">
      <formula>"KO"</formula>
    </cfRule>
    <cfRule type="cellIs" priority="3" operator="equal" dxfId="8">
      <formula>"Partiel"</formula>
    </cfRule>
    <cfRule type="cellIs" priority="4" operator="equal" dxfId="9">
      <formula>"Non testable"</formula>
    </cfRule>
  </conditionalFormatting>
  <dataValidations count="3">
    <dataValidation sqref="F5:F41" showDropDown="0" showInputMessage="0" showErrorMessage="0" allowBlank="1" type="list">
      <formula1>"Oui,Non"</formula1>
    </dataValidation>
    <dataValidation sqref="G5:G41" showDropDown="0" showInputMessage="0" showErrorMessage="0" allowBlank="1" type="list">
      <formula1>"OK,KO,Partiel,Non testable"</formula1>
    </dataValidation>
    <dataValidation sqref="H5:H41" showDropDown="0" showInputMessage="0" showErrorMessage="0" allowBlank="1" type="date" operator="greaterThan">
      <formula1>DATE(2026,1,1)</formula1>
    </dataValidation>
  </dataValidation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6" customWidth="1" min="1" max="1"/>
    <col width="8" customWidth="1" min="2" max="2"/>
    <col width="11" customWidth="1" min="3" max="3"/>
    <col width="7" customWidth="1" min="4" max="4"/>
    <col width="7" customWidth="1" min="5" max="5"/>
    <col width="9" customWidth="1" min="6" max="6"/>
    <col width="13" customWidth="1" min="7" max="7"/>
    <col width="13" customWidth="1" min="8" max="8"/>
  </cols>
  <sheetData>
    <row r="1">
      <c r="A1" s="9" t="inlineStr">
        <is>
          <t>Synthèse (calculée automatiquement depuis l'onglet Tests)</t>
        </is>
      </c>
    </row>
    <row r="3">
      <c r="A3" s="28" t="inlineStr">
        <is>
          <t>PR</t>
        </is>
      </c>
      <c r="B3" s="28" t="inlineStr">
        <is>
          <t>Tests</t>
        </is>
      </c>
      <c r="C3" s="28" t="inlineStr">
        <is>
          <t>Effectués</t>
        </is>
      </c>
      <c r="D3" s="28" t="inlineStr">
        <is>
          <t>OK</t>
        </is>
      </c>
      <c r="E3" s="28" t="inlineStr">
        <is>
          <t>KO</t>
        </is>
      </c>
      <c r="F3" s="28" t="inlineStr">
        <is>
          <t>Partiel</t>
        </is>
      </c>
      <c r="G3" s="28" t="inlineStr">
        <is>
          <t>Non testable</t>
        </is>
      </c>
      <c r="H3" s="28" t="inlineStr">
        <is>
          <t>Statut</t>
        </is>
      </c>
    </row>
    <row r="4">
      <c r="A4" s="29" t="inlineStr">
        <is>
          <t>17</t>
        </is>
      </c>
      <c r="B4" s="29">
        <f>COUNTIF(Tests!$C$5:$C$41,"*"&amp;A4&amp;"*")</f>
        <v/>
      </c>
      <c r="C4" s="29">
        <f>COUNTIFS(Tests!$C$5:$C$41,"*"&amp;A4&amp;"*",Tests!$F$5:$F$41,"Oui")</f>
        <v/>
      </c>
      <c r="D4" s="29">
        <f>COUNTIFS(Tests!$C$5:$C$41,"*"&amp;A4&amp;"*",Tests!$G$5:$G$41,"OK")</f>
        <v/>
      </c>
      <c r="E4" s="29">
        <f>COUNTIFS(Tests!$C$5:$C$41,"*"&amp;A4&amp;"*",Tests!$G$5:$G$41,"KO")</f>
        <v/>
      </c>
      <c r="F4" s="29">
        <f>COUNTIFS(Tests!$C$5:$C$41,"*"&amp;A4&amp;"*",Tests!$G$5:$G$41,"Partiel")</f>
        <v/>
      </c>
      <c r="G4" s="29">
        <f>COUNTIFS(Tests!$C$5:$C$41,"*"&amp;A4&amp;"*",Tests!$G$5:$G$41,"Non testable")</f>
        <v/>
      </c>
      <c r="H4" s="29">
        <f>IF(E4&gt;0,"À corriger",IF(D4+G4=B4,"Validée",IF(C4=0,"À tester","En cours")))</f>
        <v/>
      </c>
    </row>
    <row r="5">
      <c r="A5" s="29" t="inlineStr">
        <is>
          <t>20</t>
        </is>
      </c>
      <c r="B5" s="29">
        <f>COUNTIF(Tests!$C$5:$C$41,"*"&amp;A5&amp;"*")</f>
        <v/>
      </c>
      <c r="C5" s="29">
        <f>COUNTIFS(Tests!$C$5:$C$41,"*"&amp;A5&amp;"*",Tests!$F$5:$F$41,"Oui")</f>
        <v/>
      </c>
      <c r="D5" s="29">
        <f>COUNTIFS(Tests!$C$5:$C$41,"*"&amp;A5&amp;"*",Tests!$G$5:$G$41,"OK")</f>
        <v/>
      </c>
      <c r="E5" s="29">
        <f>COUNTIFS(Tests!$C$5:$C$41,"*"&amp;A5&amp;"*",Tests!$G$5:$G$41,"KO")</f>
        <v/>
      </c>
      <c r="F5" s="29">
        <f>COUNTIFS(Tests!$C$5:$C$41,"*"&amp;A5&amp;"*",Tests!$G$5:$G$41,"Partiel")</f>
        <v/>
      </c>
      <c r="G5" s="29">
        <f>COUNTIFS(Tests!$C$5:$C$41,"*"&amp;A5&amp;"*",Tests!$G$5:$G$41,"Non testable")</f>
        <v/>
      </c>
      <c r="H5" s="29">
        <f>IF(E5&gt;0,"À corriger",IF(D5+G5=B5,"Validée",IF(C5=0,"À tester","En cours")))</f>
        <v/>
      </c>
    </row>
    <row r="6">
      <c r="A6" s="29" t="inlineStr">
        <is>
          <t>21</t>
        </is>
      </c>
      <c r="B6" s="29">
        <f>COUNTIF(Tests!$C$5:$C$41,"*"&amp;A6&amp;"*")</f>
        <v/>
      </c>
      <c r="C6" s="29">
        <f>COUNTIFS(Tests!$C$5:$C$41,"*"&amp;A6&amp;"*",Tests!$F$5:$F$41,"Oui")</f>
        <v/>
      </c>
      <c r="D6" s="29">
        <f>COUNTIFS(Tests!$C$5:$C$41,"*"&amp;A6&amp;"*",Tests!$G$5:$G$41,"OK")</f>
        <v/>
      </c>
      <c r="E6" s="29">
        <f>COUNTIFS(Tests!$C$5:$C$41,"*"&amp;A6&amp;"*",Tests!$G$5:$G$41,"KO")</f>
        <v/>
      </c>
      <c r="F6" s="29">
        <f>COUNTIFS(Tests!$C$5:$C$41,"*"&amp;A6&amp;"*",Tests!$G$5:$G$41,"Partiel")</f>
        <v/>
      </c>
      <c r="G6" s="29">
        <f>COUNTIFS(Tests!$C$5:$C$41,"*"&amp;A6&amp;"*",Tests!$G$5:$G$41,"Non testable")</f>
        <v/>
      </c>
      <c r="H6" s="29">
        <f>IF(E6&gt;0,"À corriger",IF(D6+G6=B6,"Validée",IF(C6=0,"À tester","En cours")))</f>
        <v/>
      </c>
    </row>
    <row r="7">
      <c r="A7" s="29" t="inlineStr">
        <is>
          <t>23</t>
        </is>
      </c>
      <c r="B7" s="29">
        <f>COUNTIF(Tests!$C$5:$C$41,"*"&amp;A7&amp;"*")</f>
        <v/>
      </c>
      <c r="C7" s="29">
        <f>COUNTIFS(Tests!$C$5:$C$41,"*"&amp;A7&amp;"*",Tests!$F$5:$F$41,"Oui")</f>
        <v/>
      </c>
      <c r="D7" s="29">
        <f>COUNTIFS(Tests!$C$5:$C$41,"*"&amp;A7&amp;"*",Tests!$G$5:$G$41,"OK")</f>
        <v/>
      </c>
      <c r="E7" s="29">
        <f>COUNTIFS(Tests!$C$5:$C$41,"*"&amp;A7&amp;"*",Tests!$G$5:$G$41,"KO")</f>
        <v/>
      </c>
      <c r="F7" s="29">
        <f>COUNTIFS(Tests!$C$5:$C$41,"*"&amp;A7&amp;"*",Tests!$G$5:$G$41,"Partiel")</f>
        <v/>
      </c>
      <c r="G7" s="29">
        <f>COUNTIFS(Tests!$C$5:$C$41,"*"&amp;A7&amp;"*",Tests!$G$5:$G$41,"Non testable")</f>
        <v/>
      </c>
      <c r="H7" s="29">
        <f>IF(E7&gt;0,"À corriger",IF(D7+G7=B7,"Validée",IF(C7=0,"À tester","En cours")))</f>
        <v/>
      </c>
    </row>
    <row r="8">
      <c r="A8" s="29" t="inlineStr">
        <is>
          <t>24</t>
        </is>
      </c>
      <c r="B8" s="29">
        <f>COUNTIF(Tests!$C$5:$C$41,"*"&amp;A8&amp;"*")</f>
        <v/>
      </c>
      <c r="C8" s="29">
        <f>COUNTIFS(Tests!$C$5:$C$41,"*"&amp;A8&amp;"*",Tests!$F$5:$F$41,"Oui")</f>
        <v/>
      </c>
      <c r="D8" s="29">
        <f>COUNTIFS(Tests!$C$5:$C$41,"*"&amp;A8&amp;"*",Tests!$G$5:$G$41,"OK")</f>
        <v/>
      </c>
      <c r="E8" s="29">
        <f>COUNTIFS(Tests!$C$5:$C$41,"*"&amp;A8&amp;"*",Tests!$G$5:$G$41,"KO")</f>
        <v/>
      </c>
      <c r="F8" s="29">
        <f>COUNTIFS(Tests!$C$5:$C$41,"*"&amp;A8&amp;"*",Tests!$G$5:$G$41,"Partiel")</f>
        <v/>
      </c>
      <c r="G8" s="29">
        <f>COUNTIFS(Tests!$C$5:$C$41,"*"&amp;A8&amp;"*",Tests!$G$5:$G$41,"Non testable")</f>
        <v/>
      </c>
      <c r="H8" s="29">
        <f>IF(E8&gt;0,"À corriger",IF(D8+G8=B8,"Validée",IF(C8=0,"À tester","En cours")))</f>
        <v/>
      </c>
    </row>
    <row r="9">
      <c r="A9" s="29" t="inlineStr">
        <is>
          <t>25</t>
        </is>
      </c>
      <c r="B9" s="29">
        <f>COUNTIF(Tests!$C$5:$C$41,"*"&amp;A9&amp;"*")</f>
        <v/>
      </c>
      <c r="C9" s="29">
        <f>COUNTIFS(Tests!$C$5:$C$41,"*"&amp;A9&amp;"*",Tests!$F$5:$F$41,"Oui")</f>
        <v/>
      </c>
      <c r="D9" s="29">
        <f>COUNTIFS(Tests!$C$5:$C$41,"*"&amp;A9&amp;"*",Tests!$G$5:$G$41,"OK")</f>
        <v/>
      </c>
      <c r="E9" s="29">
        <f>COUNTIFS(Tests!$C$5:$C$41,"*"&amp;A9&amp;"*",Tests!$G$5:$G$41,"KO")</f>
        <v/>
      </c>
      <c r="F9" s="29">
        <f>COUNTIFS(Tests!$C$5:$C$41,"*"&amp;A9&amp;"*",Tests!$G$5:$G$41,"Partiel")</f>
        <v/>
      </c>
      <c r="G9" s="29">
        <f>COUNTIFS(Tests!$C$5:$C$41,"*"&amp;A9&amp;"*",Tests!$G$5:$G$41,"Non testable")</f>
        <v/>
      </c>
      <c r="H9" s="29">
        <f>IF(E9&gt;0,"À corriger",IF(D9+G9=B9,"Validée",IF(C9=0,"À tester","En cours")))</f>
        <v/>
      </c>
    </row>
    <row r="10">
      <c r="A10" s="29" t="inlineStr">
        <is>
          <t>26</t>
        </is>
      </c>
      <c r="B10" s="29">
        <f>COUNTIF(Tests!$C$5:$C$41,"*"&amp;A10&amp;"*")</f>
        <v/>
      </c>
      <c r="C10" s="29">
        <f>COUNTIFS(Tests!$C$5:$C$41,"*"&amp;A10&amp;"*",Tests!$F$5:$F$41,"Oui")</f>
        <v/>
      </c>
      <c r="D10" s="29">
        <f>COUNTIFS(Tests!$C$5:$C$41,"*"&amp;A10&amp;"*",Tests!$G$5:$G$41,"OK")</f>
        <v/>
      </c>
      <c r="E10" s="29">
        <f>COUNTIFS(Tests!$C$5:$C$41,"*"&amp;A10&amp;"*",Tests!$G$5:$G$41,"KO")</f>
        <v/>
      </c>
      <c r="F10" s="29">
        <f>COUNTIFS(Tests!$C$5:$C$41,"*"&amp;A10&amp;"*",Tests!$G$5:$G$41,"Partiel")</f>
        <v/>
      </c>
      <c r="G10" s="29">
        <f>COUNTIFS(Tests!$C$5:$C$41,"*"&amp;A10&amp;"*",Tests!$G$5:$G$41,"Non testable")</f>
        <v/>
      </c>
      <c r="H10" s="29">
        <f>IF(E10&gt;0,"À corriger",IF(D10+G10=B10,"Validée",IF(C10=0,"À tester","En cours")))</f>
        <v/>
      </c>
    </row>
    <row r="11">
      <c r="A11" s="29" t="inlineStr">
        <is>
          <t>27</t>
        </is>
      </c>
      <c r="B11" s="29">
        <f>COUNTIF(Tests!$C$5:$C$41,"*"&amp;A11&amp;"*")</f>
        <v/>
      </c>
      <c r="C11" s="29">
        <f>COUNTIFS(Tests!$C$5:$C$41,"*"&amp;A11&amp;"*",Tests!$F$5:$F$41,"Oui")</f>
        <v/>
      </c>
      <c r="D11" s="29">
        <f>COUNTIFS(Tests!$C$5:$C$41,"*"&amp;A11&amp;"*",Tests!$G$5:$G$41,"OK")</f>
        <v/>
      </c>
      <c r="E11" s="29">
        <f>COUNTIFS(Tests!$C$5:$C$41,"*"&amp;A11&amp;"*",Tests!$G$5:$G$41,"KO")</f>
        <v/>
      </c>
      <c r="F11" s="29">
        <f>COUNTIFS(Tests!$C$5:$C$41,"*"&amp;A11&amp;"*",Tests!$G$5:$G$41,"Partiel")</f>
        <v/>
      </c>
      <c r="G11" s="29">
        <f>COUNTIFS(Tests!$C$5:$C$41,"*"&amp;A11&amp;"*",Tests!$G$5:$G$41,"Non testable")</f>
        <v/>
      </c>
      <c r="H11" s="29">
        <f>IF(E11&gt;0,"À corriger",IF(D11+G11=B11,"Validée",IF(C11=0,"À tester","En cours")))</f>
        <v/>
      </c>
    </row>
    <row r="12">
      <c r="A12" s="29" t="inlineStr">
        <is>
          <t>28</t>
        </is>
      </c>
      <c r="B12" s="29">
        <f>COUNTIF(Tests!$C$5:$C$41,"*"&amp;A12&amp;"*")</f>
        <v/>
      </c>
      <c r="C12" s="29">
        <f>COUNTIFS(Tests!$C$5:$C$41,"*"&amp;A12&amp;"*",Tests!$F$5:$F$41,"Oui")</f>
        <v/>
      </c>
      <c r="D12" s="29">
        <f>COUNTIFS(Tests!$C$5:$C$41,"*"&amp;A12&amp;"*",Tests!$G$5:$G$41,"OK")</f>
        <v/>
      </c>
      <c r="E12" s="29">
        <f>COUNTIFS(Tests!$C$5:$C$41,"*"&amp;A12&amp;"*",Tests!$G$5:$G$41,"KO")</f>
        <v/>
      </c>
      <c r="F12" s="29">
        <f>COUNTIFS(Tests!$C$5:$C$41,"*"&amp;A12&amp;"*",Tests!$G$5:$G$41,"Partiel")</f>
        <v/>
      </c>
      <c r="G12" s="29">
        <f>COUNTIFS(Tests!$C$5:$C$41,"*"&amp;A12&amp;"*",Tests!$G$5:$G$41,"Non testable")</f>
        <v/>
      </c>
      <c r="H12" s="29">
        <f>IF(E12&gt;0,"À corriger",IF(D12+G12=B12,"Validée",IF(C12=0,"À tester","En cours")))</f>
        <v/>
      </c>
    </row>
    <row r="13">
      <c r="A13" s="29" t="inlineStr">
        <is>
          <t>29</t>
        </is>
      </c>
      <c r="B13" s="29">
        <f>COUNTIF(Tests!$C$5:$C$41,"*"&amp;A13&amp;"*")</f>
        <v/>
      </c>
      <c r="C13" s="29">
        <f>COUNTIFS(Tests!$C$5:$C$41,"*"&amp;A13&amp;"*",Tests!$F$5:$F$41,"Oui")</f>
        <v/>
      </c>
      <c r="D13" s="29">
        <f>COUNTIFS(Tests!$C$5:$C$41,"*"&amp;A13&amp;"*",Tests!$G$5:$G$41,"OK")</f>
        <v/>
      </c>
      <c r="E13" s="29">
        <f>COUNTIFS(Tests!$C$5:$C$41,"*"&amp;A13&amp;"*",Tests!$G$5:$G$41,"KO")</f>
        <v/>
      </c>
      <c r="F13" s="29">
        <f>COUNTIFS(Tests!$C$5:$C$41,"*"&amp;A13&amp;"*",Tests!$G$5:$G$41,"Partiel")</f>
        <v/>
      </c>
      <c r="G13" s="29">
        <f>COUNTIFS(Tests!$C$5:$C$41,"*"&amp;A13&amp;"*",Tests!$G$5:$G$41,"Non testable")</f>
        <v/>
      </c>
      <c r="H13" s="29">
        <f>IF(E13&gt;0,"À corriger",IF(D13+G13=B13,"Validée",IF(C13=0,"À tester","En cours")))</f>
        <v/>
      </c>
    </row>
    <row r="14">
      <c r="A14" s="29" t="inlineStr">
        <is>
          <t>30</t>
        </is>
      </c>
      <c r="B14" s="29">
        <f>COUNTIF(Tests!$C$5:$C$41,"*"&amp;A14&amp;"*")</f>
        <v/>
      </c>
      <c r="C14" s="29">
        <f>COUNTIFS(Tests!$C$5:$C$41,"*"&amp;A14&amp;"*",Tests!$F$5:$F$41,"Oui")</f>
        <v/>
      </c>
      <c r="D14" s="29">
        <f>COUNTIFS(Tests!$C$5:$C$41,"*"&amp;A14&amp;"*",Tests!$G$5:$G$41,"OK")</f>
        <v/>
      </c>
      <c r="E14" s="29">
        <f>COUNTIFS(Tests!$C$5:$C$41,"*"&amp;A14&amp;"*",Tests!$G$5:$G$41,"KO")</f>
        <v/>
      </c>
      <c r="F14" s="29">
        <f>COUNTIFS(Tests!$C$5:$C$41,"*"&amp;A14&amp;"*",Tests!$G$5:$G$41,"Partiel")</f>
        <v/>
      </c>
      <c r="G14" s="29">
        <f>COUNTIFS(Tests!$C$5:$C$41,"*"&amp;A14&amp;"*",Tests!$G$5:$G$41,"Non testable")</f>
        <v/>
      </c>
      <c r="H14" s="29">
        <f>IF(E14&gt;0,"À corriger",IF(D14+G14=B14,"Validée",IF(C14=0,"À tester","En cours")))</f>
        <v/>
      </c>
    </row>
    <row r="15">
      <c r="A15" s="29" t="inlineStr">
        <is>
          <t>31</t>
        </is>
      </c>
      <c r="B15" s="29">
        <f>COUNTIF(Tests!$C$5:$C$41,"*"&amp;A15&amp;"*")</f>
        <v/>
      </c>
      <c r="C15" s="29">
        <f>COUNTIFS(Tests!$C$5:$C$41,"*"&amp;A15&amp;"*",Tests!$F$5:$F$41,"Oui")</f>
        <v/>
      </c>
      <c r="D15" s="29">
        <f>COUNTIFS(Tests!$C$5:$C$41,"*"&amp;A15&amp;"*",Tests!$G$5:$G$41,"OK")</f>
        <v/>
      </c>
      <c r="E15" s="29">
        <f>COUNTIFS(Tests!$C$5:$C$41,"*"&amp;A15&amp;"*",Tests!$G$5:$G$41,"KO")</f>
        <v/>
      </c>
      <c r="F15" s="29">
        <f>COUNTIFS(Tests!$C$5:$C$41,"*"&amp;A15&amp;"*",Tests!$G$5:$G$41,"Partiel")</f>
        <v/>
      </c>
      <c r="G15" s="29">
        <f>COUNTIFS(Tests!$C$5:$C$41,"*"&amp;A15&amp;"*",Tests!$G$5:$G$41,"Non testable")</f>
        <v/>
      </c>
      <c r="H15" s="29">
        <f>IF(E15&gt;0,"À corriger",IF(D15+G15=B15,"Validée",IF(C15=0,"À tester","En cours")))</f>
        <v/>
      </c>
    </row>
    <row r="16">
      <c r="A16" s="29" t="inlineStr">
        <is>
          <t>32</t>
        </is>
      </c>
      <c r="B16" s="29">
        <f>COUNTIF(Tests!$C$5:$C$41,"*"&amp;A16&amp;"*")</f>
        <v/>
      </c>
      <c r="C16" s="29">
        <f>COUNTIFS(Tests!$C$5:$C$41,"*"&amp;A16&amp;"*",Tests!$F$5:$F$41,"Oui")</f>
        <v/>
      </c>
      <c r="D16" s="29">
        <f>COUNTIFS(Tests!$C$5:$C$41,"*"&amp;A16&amp;"*",Tests!$G$5:$G$41,"OK")</f>
        <v/>
      </c>
      <c r="E16" s="29">
        <f>COUNTIFS(Tests!$C$5:$C$41,"*"&amp;A16&amp;"*",Tests!$G$5:$G$41,"KO")</f>
        <v/>
      </c>
      <c r="F16" s="29">
        <f>COUNTIFS(Tests!$C$5:$C$41,"*"&amp;A16&amp;"*",Tests!$G$5:$G$41,"Partiel")</f>
        <v/>
      </c>
      <c r="G16" s="29">
        <f>COUNTIFS(Tests!$C$5:$C$41,"*"&amp;A16&amp;"*",Tests!$G$5:$G$41,"Non testable")</f>
        <v/>
      </c>
      <c r="H16" s="29">
        <f>IF(E16&gt;0,"À corriger",IF(D16+G16=B16,"Validée",IF(C16=0,"À tester","En cours")))</f>
        <v/>
      </c>
    </row>
    <row r="17">
      <c r="A17" s="29" t="inlineStr">
        <is>
          <t>33</t>
        </is>
      </c>
      <c r="B17" s="29">
        <f>COUNTIF(Tests!$C$5:$C$41,"*"&amp;A17&amp;"*")</f>
        <v/>
      </c>
      <c r="C17" s="29">
        <f>COUNTIFS(Tests!$C$5:$C$41,"*"&amp;A17&amp;"*",Tests!$F$5:$F$41,"Oui")</f>
        <v/>
      </c>
      <c r="D17" s="29">
        <f>COUNTIFS(Tests!$C$5:$C$41,"*"&amp;A17&amp;"*",Tests!$G$5:$G$41,"OK")</f>
        <v/>
      </c>
      <c r="E17" s="29">
        <f>COUNTIFS(Tests!$C$5:$C$41,"*"&amp;A17&amp;"*",Tests!$G$5:$G$41,"KO")</f>
        <v/>
      </c>
      <c r="F17" s="29">
        <f>COUNTIFS(Tests!$C$5:$C$41,"*"&amp;A17&amp;"*",Tests!$G$5:$G$41,"Partiel")</f>
        <v/>
      </c>
      <c r="G17" s="29">
        <f>COUNTIFS(Tests!$C$5:$C$41,"*"&amp;A17&amp;"*",Tests!$G$5:$G$41,"Non testable")</f>
        <v/>
      </c>
      <c r="H17" s="29">
        <f>IF(E17&gt;0,"À corriger",IF(D17+G17=B17,"Validée",IF(C17=0,"À tester","En cours")))</f>
        <v/>
      </c>
    </row>
    <row r="18">
      <c r="A18" s="29" t="inlineStr">
        <is>
          <t>34</t>
        </is>
      </c>
      <c r="B18" s="29">
        <f>COUNTIF(Tests!$C$5:$C$41,"*"&amp;A18&amp;"*")</f>
        <v/>
      </c>
      <c r="C18" s="29">
        <f>COUNTIFS(Tests!$C$5:$C$41,"*"&amp;A18&amp;"*",Tests!$F$5:$F$41,"Oui")</f>
        <v/>
      </c>
      <c r="D18" s="29">
        <f>COUNTIFS(Tests!$C$5:$C$41,"*"&amp;A18&amp;"*",Tests!$G$5:$G$41,"OK")</f>
        <v/>
      </c>
      <c r="E18" s="29">
        <f>COUNTIFS(Tests!$C$5:$C$41,"*"&amp;A18&amp;"*",Tests!$G$5:$G$41,"KO")</f>
        <v/>
      </c>
      <c r="F18" s="29">
        <f>COUNTIFS(Tests!$C$5:$C$41,"*"&amp;A18&amp;"*",Tests!$G$5:$G$41,"Partiel")</f>
        <v/>
      </c>
      <c r="G18" s="29">
        <f>COUNTIFS(Tests!$C$5:$C$41,"*"&amp;A18&amp;"*",Tests!$G$5:$G$41,"Non testable")</f>
        <v/>
      </c>
      <c r="H18" s="29">
        <f>IF(E18&gt;0,"À corriger",IF(D18+G18=B18,"Validée",IF(C18=0,"À tester","En cours")))</f>
        <v/>
      </c>
    </row>
    <row r="19">
      <c r="A19" s="29" t="inlineStr">
        <is>
          <t>35</t>
        </is>
      </c>
      <c r="B19" s="29">
        <f>COUNTIF(Tests!$C$5:$C$41,"*"&amp;A19&amp;"*")</f>
        <v/>
      </c>
      <c r="C19" s="29">
        <f>COUNTIFS(Tests!$C$5:$C$41,"*"&amp;A19&amp;"*",Tests!$F$5:$F$41,"Oui")</f>
        <v/>
      </c>
      <c r="D19" s="29">
        <f>COUNTIFS(Tests!$C$5:$C$41,"*"&amp;A19&amp;"*",Tests!$G$5:$G$41,"OK")</f>
        <v/>
      </c>
      <c r="E19" s="29">
        <f>COUNTIFS(Tests!$C$5:$C$41,"*"&amp;A19&amp;"*",Tests!$G$5:$G$41,"KO")</f>
        <v/>
      </c>
      <c r="F19" s="29">
        <f>COUNTIFS(Tests!$C$5:$C$41,"*"&amp;A19&amp;"*",Tests!$G$5:$G$41,"Partiel")</f>
        <v/>
      </c>
      <c r="G19" s="29">
        <f>COUNTIFS(Tests!$C$5:$C$41,"*"&amp;A19&amp;"*",Tests!$G$5:$G$41,"Non testable")</f>
        <v/>
      </c>
      <c r="H19" s="29">
        <f>IF(E19&gt;0,"À corriger",IF(D19+G19=B19,"Validée",IF(C19=0,"À tester","En cours")))</f>
        <v/>
      </c>
    </row>
    <row r="20">
      <c r="A20" s="29" t="inlineStr">
        <is>
          <t>36</t>
        </is>
      </c>
      <c r="B20" s="29">
        <f>COUNTIF(Tests!$C$5:$C$41,"*"&amp;A20&amp;"*")</f>
        <v/>
      </c>
      <c r="C20" s="29">
        <f>COUNTIFS(Tests!$C$5:$C$41,"*"&amp;A20&amp;"*",Tests!$F$5:$F$41,"Oui")</f>
        <v/>
      </c>
      <c r="D20" s="29">
        <f>COUNTIFS(Tests!$C$5:$C$41,"*"&amp;A20&amp;"*",Tests!$G$5:$G$41,"OK")</f>
        <v/>
      </c>
      <c r="E20" s="29">
        <f>COUNTIFS(Tests!$C$5:$C$41,"*"&amp;A20&amp;"*",Tests!$G$5:$G$41,"KO")</f>
        <v/>
      </c>
      <c r="F20" s="29">
        <f>COUNTIFS(Tests!$C$5:$C$41,"*"&amp;A20&amp;"*",Tests!$G$5:$G$41,"Partiel")</f>
        <v/>
      </c>
      <c r="G20" s="29">
        <f>COUNTIFS(Tests!$C$5:$C$41,"*"&amp;A20&amp;"*",Tests!$G$5:$G$41,"Non testable")</f>
        <v/>
      </c>
      <c r="H20" s="29">
        <f>IF(E20&gt;0,"À corriger",IF(D20+G20=B20,"Validée",IF(C20=0,"À tester","En cours")))</f>
        <v/>
      </c>
    </row>
    <row r="21">
      <c r="A21" s="29" t="inlineStr">
        <is>
          <t>37</t>
        </is>
      </c>
      <c r="B21" s="29">
        <f>COUNTIF(Tests!$C$5:$C$41,"*"&amp;A21&amp;"*")</f>
        <v/>
      </c>
      <c r="C21" s="29">
        <f>COUNTIFS(Tests!$C$5:$C$41,"*"&amp;A21&amp;"*",Tests!$F$5:$F$41,"Oui")</f>
        <v/>
      </c>
      <c r="D21" s="29">
        <f>COUNTIFS(Tests!$C$5:$C$41,"*"&amp;A21&amp;"*",Tests!$G$5:$G$41,"OK")</f>
        <v/>
      </c>
      <c r="E21" s="29">
        <f>COUNTIFS(Tests!$C$5:$C$41,"*"&amp;A21&amp;"*",Tests!$G$5:$G$41,"KO")</f>
        <v/>
      </c>
      <c r="F21" s="29">
        <f>COUNTIFS(Tests!$C$5:$C$41,"*"&amp;A21&amp;"*",Tests!$G$5:$G$41,"Partiel")</f>
        <v/>
      </c>
      <c r="G21" s="29">
        <f>COUNTIFS(Tests!$C$5:$C$41,"*"&amp;A21&amp;"*",Tests!$G$5:$G$41,"Non testable")</f>
        <v/>
      </c>
      <c r="H21" s="29">
        <f>IF(E21&gt;0,"À corriger",IF(D21+G21=B21,"Validée",IF(C21=0,"À tester","En cours")))</f>
        <v/>
      </c>
    </row>
    <row r="22">
      <c r="A22" s="29" t="inlineStr">
        <is>
          <t>38</t>
        </is>
      </c>
      <c r="B22" s="29">
        <f>COUNTIF(Tests!$C$5:$C$41,"*"&amp;A22&amp;"*")</f>
        <v/>
      </c>
      <c r="C22" s="29">
        <f>COUNTIFS(Tests!$C$5:$C$41,"*"&amp;A22&amp;"*",Tests!$F$5:$F$41,"Oui")</f>
        <v/>
      </c>
      <c r="D22" s="29">
        <f>COUNTIFS(Tests!$C$5:$C$41,"*"&amp;A22&amp;"*",Tests!$G$5:$G$41,"OK")</f>
        <v/>
      </c>
      <c r="E22" s="29">
        <f>COUNTIFS(Tests!$C$5:$C$41,"*"&amp;A22&amp;"*",Tests!$G$5:$G$41,"KO")</f>
        <v/>
      </c>
      <c r="F22" s="29">
        <f>COUNTIFS(Tests!$C$5:$C$41,"*"&amp;A22&amp;"*",Tests!$G$5:$G$41,"Partiel")</f>
        <v/>
      </c>
      <c r="G22" s="29">
        <f>COUNTIFS(Tests!$C$5:$C$41,"*"&amp;A22&amp;"*",Tests!$G$5:$G$41,"Non testable")</f>
        <v/>
      </c>
      <c r="H22" s="29">
        <f>IF(E22&gt;0,"À corriger",IF(D22+G22=B22,"Validée",IF(C22=0,"À tester","En cours")))</f>
        <v/>
      </c>
    </row>
    <row r="23">
      <c r="A23" s="29" t="inlineStr">
        <is>
          <t>5 (en attente)</t>
        </is>
      </c>
      <c r="B23" s="29">
        <f>COUNTIF(Tests!$C$5:$C$41,A23)</f>
        <v/>
      </c>
      <c r="C23" s="29">
        <f>COUNTIFS(Tests!$C$5:$C$41,A23,Tests!$F$5:$F$41,"Oui")</f>
        <v/>
      </c>
      <c r="D23" s="29">
        <f>COUNTIFS(Tests!$C$5:$C$41,A23,Tests!$G$5:$G$41,"OK")</f>
        <v/>
      </c>
      <c r="E23" s="29">
        <f>COUNTIFS(Tests!$C$5:$C$41,A23,Tests!$G$5:$G$41,"KO")</f>
        <v/>
      </c>
      <c r="F23" s="29">
        <f>COUNTIFS(Tests!$C$5:$C$41,A23,Tests!$G$5:$G$41,"Partiel")</f>
        <v/>
      </c>
      <c r="G23" s="29">
        <f>COUNTIFS(Tests!$C$5:$C$41,A23,Tests!$G$5:$G$41,"Non testable")</f>
        <v/>
      </c>
      <c r="H23" s="29">
        <f>IF(E23&gt;0,"À corriger",IF(D23+G23=B23,"Validée",IF(C23=0,"À tester","En cours")))</f>
        <v/>
      </c>
    </row>
    <row r="24">
      <c r="A24" s="29" t="inlineStr">
        <is>
          <t>SYNC</t>
        </is>
      </c>
      <c r="B24" s="29">
        <f>COUNTIF(Tests!$C$5:$C$41,A24)</f>
        <v/>
      </c>
      <c r="C24" s="29">
        <f>COUNTIFS(Tests!$C$5:$C$41,A24,Tests!$F$5:$F$41,"Oui")</f>
        <v/>
      </c>
      <c r="D24" s="29">
        <f>COUNTIFS(Tests!$C$5:$C$41,A24,Tests!$G$5:$G$41,"OK")</f>
        <v/>
      </c>
      <c r="E24" s="29">
        <f>COUNTIFS(Tests!$C$5:$C$41,A24,Tests!$G$5:$G$41,"KO")</f>
        <v/>
      </c>
      <c r="F24" s="29">
        <f>COUNTIFS(Tests!$C$5:$C$41,A24,Tests!$G$5:$G$41,"Partiel")</f>
        <v/>
      </c>
      <c r="G24" s="29">
        <f>COUNTIFS(Tests!$C$5:$C$41,A24,Tests!$G$5:$G$41,"Non testable")</f>
        <v/>
      </c>
      <c r="H24" s="29">
        <f>IF(E24&gt;0,"À corriger",IF(D24+G24=B24,"Validée",IF(C24=0,"À tester","En cours")))</f>
        <v/>
      </c>
    </row>
    <row r="25">
      <c r="A25" s="30" t="inlineStr">
        <is>
          <t>Total</t>
        </is>
      </c>
      <c r="B25" s="30">
        <f>COUNTA(Tests!$A$5:$A$41)</f>
        <v/>
      </c>
      <c r="C25" s="30">
        <f>COUNTIF(Tests!$F$5:$F$41,"Oui")</f>
        <v/>
      </c>
      <c r="D25" s="30">
        <f>COUNTIF(Tests!$G$5:$G$41,"OK")</f>
        <v/>
      </c>
      <c r="E25" s="30">
        <f>COUNTIF(Tests!$G$5:$G$41,"KO")</f>
        <v/>
      </c>
      <c r="F25" s="30">
        <f>COUNTIF(Tests!$G$5:$G$41,"Partiel")</f>
        <v/>
      </c>
      <c r="G25" s="30">
        <f>COUNTIF(Tests!$G$5:$G$41,"Non testable")</f>
        <v/>
      </c>
      <c r="H25" s="30" t="n"/>
    </row>
    <row r="27">
      <c r="A27" s="31" t="inlineStr">
        <is>
          <t>Un test peut couvrir plusieurs PR : il compte pour chacune. « Validée » = tous les tests de la PR en OK ou Non testable. Un test « Partiel » corrigé depuis reste « En cours » jusqu'à ce que tu le refasses.</t>
        </is>
      </c>
    </row>
  </sheetData>
  <conditionalFormatting sqref="H4:H24">
    <cfRule type="cellIs" priority="1" operator="equal" dxfId="6">
      <formula>"Validée"</formula>
    </cfRule>
    <cfRule type="cellIs" priority="2" operator="equal" dxfId="7">
      <formula>"À corriger"</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10" defaultColWidth="9.140625" defaultRowHeight="15"/>
  <cols>
    <col width="24" customWidth="1" min="1" max="1"/>
    <col width="90" customWidth="1" min="2" max="2"/>
    <col width="14" customWidth="1" min="3" max="5"/>
    <col width="60" customWidth="1" min="6" max="6"/>
  </cols>
  <sheetData>
    <row r="1" ht="16.5" customHeight="1">
      <c r="A1" s="9" t="inlineStr">
        <is>
          <t>Mode d'emploi</t>
        </is>
      </c>
    </row>
    <row r="2">
      <c r="A2" s="14" t="inlineStr">
        <is>
          <t>Cellules à remplir</t>
        </is>
      </c>
      <c r="B2" s="15" t="inlineStr">
        <is>
          <t>Colonnes jaunes de l'onglet Tests : Effectué, Résultat, Date, Commentaires. Le reste est fixe.</t>
        </is>
      </c>
    </row>
    <row r="3">
      <c r="A3" s="14" t="inlineStr">
        <is>
          <t>Effectué</t>
        </is>
      </c>
      <c r="B3" s="15" t="inlineStr">
        <is>
          <t>Oui ou Non (liste déroulante).</t>
        </is>
      </c>
    </row>
    <row r="4" ht="25.5" customHeight="1">
      <c r="A4" s="14" t="inlineStr">
        <is>
          <t>Résultat</t>
        </is>
      </c>
      <c r="B4" s="15" t="inlineStr">
        <is>
          <t>OK : conforme au résultat attendu. KO : non conforme. Partiel : en partie conforme (préciser). Non testable : matériel ou fichier absent.</t>
        </is>
      </c>
    </row>
    <row r="5">
      <c r="A5" s="14" t="inlineStr">
        <is>
          <t>Date</t>
        </is>
      </c>
      <c r="B5" s="15" t="inlineStr">
        <is>
          <t>Date du test, format JJ/MM/AAAA.</t>
        </is>
      </c>
    </row>
    <row r="6" ht="25.5" customHeight="1">
      <c r="A6" s="14" t="inlineStr">
        <is>
          <t>Commentaires</t>
        </is>
      </c>
      <c r="B6" s="15" t="inlineStr">
        <is>
          <t>Pour un KO ou un Partiel : ce qui s'est passé, le message affiché, le fichier utilisé (format, caméra, codec).</t>
        </is>
      </c>
    </row>
    <row r="7">
      <c r="A7" s="14" t="inlineStr">
        <is>
          <t>Ordre</t>
        </is>
      </c>
      <c r="B7" s="15" t="inlineStr">
        <is>
          <t>Suivre l'ordre des numéros. La section G (désinstallation) efface les réglages : la faire en dernier.</t>
        </is>
      </c>
    </row>
    <row r="8">
      <c r="A8" s="14" t="inlineStr">
        <is>
          <t>Build</t>
        </is>
      </c>
      <c r="B8" s="15" t="inlineStr">
        <is>
          <t>https://github.com/Herve-obe/VERIFLOW-v4/actions/runs/40104706786 (artefact veriflow-windows-latest, build du 24/10).</t>
        </is>
      </c>
    </row>
    <row r="9">
      <c r="A9" s="14" t="inlineStr">
        <is>
          <t>Retour</t>
        </is>
      </c>
      <c r="B9" s="15" t="inlineStr">
        <is>
          <t>Déposer le fichier rempli dans la conversation, ou le pousser dans docs/recette/ du dépôt.</t>
        </is>
      </c>
    </row>
    <row r="10"/>
    <row r="11" ht="16.5" customHeight="1">
      <c r="A11" s="9" t="inlineStr">
        <is>
          <t>Exemple de ligne remplie</t>
        </is>
      </c>
    </row>
    <row r="12">
      <c r="A12" s="16" t="inlineStr">
        <is>
          <t>N°</t>
        </is>
      </c>
      <c r="B12" s="16" t="inlineStr">
        <is>
          <t>PR</t>
        </is>
      </c>
      <c r="C12" s="16" t="inlineStr">
        <is>
          <t>Effectué</t>
        </is>
      </c>
      <c r="D12" s="16" t="inlineStr">
        <is>
          <t>Résultat</t>
        </is>
      </c>
      <c r="E12" s="16" t="inlineStr">
        <is>
          <t>Date</t>
        </is>
      </c>
      <c r="F12" s="16" t="inlineStr">
        <is>
          <t>Commentaires</t>
        </is>
      </c>
    </row>
    <row r="13" ht="25.5" customHeight="1">
      <c r="A13" s="17" t="n">
        <v>13</v>
      </c>
      <c r="B13" s="17" t="inlineStr">
        <is>
          <t>21</t>
        </is>
      </c>
      <c r="C13" s="17" t="inlineStr">
        <is>
          <t>Oui</t>
        </is>
      </c>
      <c r="D13" s="17" t="inlineStr">
        <is>
          <t>KO</t>
        </is>
      </c>
      <c r="E13" s="17" t="inlineStr">
        <is>
          <t>21/10/2026</t>
        </is>
      </c>
      <c r="F13" s="17" t="inlineStr">
        <is>
          <t>Fichier ouvert dans Reaper : message affiché, mais le disque a disparu de l'explorateur.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2026-10-21T17:18:59Z</dcterms:created>
  <dcterms:modified xsi:type="dcterms:W3CDTF">2026-10-25T16:31:01Z</dcterms:modified>
  <cp:lastModifiedBy>OBEJERO Hervé</cp:lastModifiedBy>
</cp:coreProperties>
</file>