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ests" sheetId="1" state="visible" r:id="rId1"/>
    <sheet name="Synthèse" sheetId="2" state="visible" r:id="rId2"/>
    <sheet name="Légende" sheetId="3" state="visible" r:id="rId3"/>
  </sheets>
  <definedNames>
    <definedName name="_xlnm._FilterDatabase" localSheetId="0" hidden="1">'Tests'!$A$4:$J$33</definedName>
    <definedName name="_xlnm.Print_Titles" localSheetId="0">'Tests'!$4:$4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color rgb="FFFFFFFF"/>
      <sz val="11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i val="1"/>
      <color rgb="FF595959"/>
      <sz val="9"/>
    </font>
    <font>
      <name val="Arial"/>
      <b val="1"/>
      <sz val="10"/>
    </font>
    <font>
      <name val="Arial"/>
      <i val="1"/>
      <sz val="10"/>
    </font>
    <font>
      <name val="Arial"/>
      <b val="1"/>
      <color rgb="00FFFFFF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14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1" pivotButton="0" quotePrefix="0" xfId="0"/>
    <xf numFmtId="0" fontId="9" fillId="3" borderId="1" applyAlignment="1" pivotButton="0" quotePrefix="0" xfId="0">
      <alignment vertical="top" wrapText="1"/>
    </xf>
    <xf numFmtId="0" fontId="10" fillId="5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</cellXfs>
  <cellStyles count="1">
    <cellStyle name="Normal" xfId="0" builtinId="0"/>
  </cellStyles>
  <dxfs count="6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I17" sqref="I17"/>
    </sheetView>
  </sheetViews>
  <sheetFormatPr baseColWidth="10" defaultColWidth="9.140625" defaultRowHeight="15"/>
  <cols>
    <col width="5" customWidth="1" min="1" max="1"/>
    <col width="22" customWidth="1" min="2" max="2"/>
    <col width="12" customWidth="1" min="3" max="3"/>
    <col width="55" customWidth="1" min="4" max="5"/>
    <col width="11" customWidth="1" min="6" max="6"/>
    <col width="13" customWidth="1" min="7" max="7"/>
    <col width="12" customWidth="1" min="8" max="8"/>
    <col width="50" customWidth="1" min="9" max="9"/>
    <col width="60" customWidth="1" min="10" max="10"/>
  </cols>
  <sheetData>
    <row r="1" ht="18" customHeight="1">
      <c r="A1" s="1" t="inlineStr">
        <is>
          <t>Recette VERIFLOW : PR 17 à 37 (build de la branche claude/recette, Windows 11)</t>
        </is>
      </c>
    </row>
    <row r="2">
      <c r="A2" s="2" t="inlineStr">
        <is>
          <t>Remplir uniquement les colonnes jaunes (Effectué, Résultat, Date, Commentaires). Mode d'emploi : onglet Légende.</t>
        </is>
      </c>
    </row>
    <row r="4">
      <c r="A4" s="3" t="inlineStr">
        <is>
          <t>N°</t>
        </is>
      </c>
      <c r="B4" s="3" t="inlineStr">
        <is>
          <t>Section</t>
        </is>
      </c>
      <c r="C4" s="3" t="inlineStr">
        <is>
          <t>PR</t>
        </is>
      </c>
      <c r="D4" s="3" t="inlineStr">
        <is>
          <t>Action</t>
        </is>
      </c>
      <c r="E4" s="3" t="inlineStr">
        <is>
          <t>Résultat attendu</t>
        </is>
      </c>
      <c r="F4" s="3" t="inlineStr">
        <is>
          <t>Effectué</t>
        </is>
      </c>
      <c r="G4" s="3" t="inlineStr">
        <is>
          <t>Résultat</t>
        </is>
      </c>
      <c r="H4" s="3" t="inlineStr">
        <is>
          <t>Date</t>
        </is>
      </c>
      <c r="I4" s="3" t="inlineStr">
        <is>
          <t>Commentaires</t>
        </is>
      </c>
      <c r="J4" s="18" t="inlineStr">
        <is>
          <t>Réponse de Claude (23/10)</t>
        </is>
      </c>
    </row>
    <row r="5" ht="25.5" customHeight="1">
      <c r="A5" s="4" t="n">
        <v>1</v>
      </c>
      <c r="B5" s="5" t="inlineStr">
        <is>
          <t>A. Installation et menus</t>
        </is>
      </c>
      <c r="C5" s="4" t="inlineStr">
        <is>
          <t>37</t>
        </is>
      </c>
      <c r="D5" s="5" t="inlineStr">
        <is>
          <t>Lancer setup.exe (build claude/recette, artefact veriflow-windows-latest).</t>
        </is>
      </c>
      <c r="E5" s="5" t="inlineStr">
        <is>
          <t>L'installeur affiche le CLUF en français avant l'installation.</t>
        </is>
      </c>
      <c r="F5" s="6" t="inlineStr">
        <is>
          <t>Oui</t>
        </is>
      </c>
      <c r="G5" s="6" t="inlineStr">
        <is>
          <t>OK</t>
        </is>
      </c>
      <c r="H5" s="7" t="n">
        <v>46317</v>
      </c>
      <c r="I5" s="8" t="inlineStr">
        <is>
          <t>RAS</t>
        </is>
      </c>
      <c r="J5" s="19" t="inlineStr"/>
    </row>
    <row r="6" ht="25.5" customHeight="1">
      <c r="A6" s="4" t="n">
        <v>2</v>
      </c>
      <c r="B6" s="5" t="inlineStr">
        <is>
          <t>A. Installation et menus</t>
        </is>
      </c>
      <c r="C6" s="4" t="inlineStr">
        <is>
          <t>37</t>
        </is>
      </c>
      <c r="D6" s="5" t="inlineStr">
        <is>
          <t>Aide &gt; À propos.</t>
        </is>
      </c>
      <c r="E6" s="5" t="inlineStr">
        <is>
          <t>Version de FFmpeg (9.0.2) et bouton « Licences, CLUF et CGU » affichés.</t>
        </is>
      </c>
      <c r="F6" s="6" t="inlineStr">
        <is>
          <t>Oui</t>
        </is>
      </c>
      <c r="G6" s="6" t="inlineStr">
        <is>
          <t>OK</t>
        </is>
      </c>
      <c r="H6" s="7" t="n">
        <v>46317</v>
      </c>
      <c r="I6" s="8" t="inlineStr">
        <is>
          <t>RAS</t>
        </is>
      </c>
      <c r="J6" s="19" t="inlineStr"/>
    </row>
    <row r="7" ht="25.5" customHeight="1">
      <c r="A7" s="4" t="n">
        <v>3</v>
      </c>
      <c r="B7" s="5" t="inlineStr">
        <is>
          <t>A. Installation et menus</t>
        </is>
      </c>
      <c r="C7" s="4" t="inlineStr">
        <is>
          <t>37</t>
        </is>
      </c>
      <c r="D7" s="5" t="inlineStr">
        <is>
          <t>Cliquer sur « Licences, CLUF et CGU », ouvrir chaque rubrique.</t>
        </is>
      </c>
      <c r="E7" s="5" t="inlineStr">
        <is>
          <t>VERIFLOW, CLUF, CGU, FFmpeg (version et configuration), Composants tiers et Textes des licences ont tous un texte.</t>
        </is>
      </c>
      <c r="F7" s="6" t="inlineStr">
        <is>
          <t>Oui</t>
        </is>
      </c>
      <c r="G7" s="6" t="inlineStr">
        <is>
          <t>OK</t>
        </is>
      </c>
      <c r="H7" s="7" t="n">
        <v>46317</v>
      </c>
      <c r="I7" s="8" t="inlineStr">
        <is>
          <t>RAS</t>
        </is>
      </c>
      <c r="J7" s="19" t="inlineStr"/>
    </row>
    <row r="8" ht="25.5" customHeight="1">
      <c r="A8" s="4" t="n">
        <v>4</v>
      </c>
      <c r="B8" s="5" t="inlineStr">
        <is>
          <t>A. Installation et menus</t>
        </is>
      </c>
      <c r="C8" s="4" t="inlineStr">
        <is>
          <t>26</t>
        </is>
      </c>
      <c r="D8" s="5" t="inlineStr">
        <is>
          <t>Appuyer sur F1, changer de chapitre dans le sommaire. Relire le fond.</t>
        </is>
      </c>
      <c r="E8" s="5" t="inlineStr">
        <is>
          <t>Le guide s'ouvre, le sommaire change de chapitre. Remarques de fond dans Commentaires.</t>
        </is>
      </c>
      <c r="F8" s="6" t="inlineStr">
        <is>
          <t>Oui</t>
        </is>
      </c>
      <c r="G8" s="6" t="inlineStr">
        <is>
          <t>Partiel</t>
        </is>
      </c>
      <c r="H8" s="7" t="n">
        <v>46317</v>
      </c>
      <c r="I8" s="8" t="inlineStr">
        <is>
          <t>Manuel assez sommaire, il faut le développer plus pour permettre l'utilisateur d'être autonome sur le logiciel</t>
        </is>
      </c>
      <c r="J8" s="20" t="inlineStr">
        <is>
          <t>Guide développé : 12 chapitres au lieu de 7, 610 lignes au lieu de 194 (journée de tournage, recettes TRANSCODE, problèmes fréquents, glossaire). À relire dans le nouveau build.</t>
        </is>
      </c>
    </row>
    <row r="9" ht="25.5" customHeight="1">
      <c r="A9" s="4" t="n">
        <v>5</v>
      </c>
      <c r="B9" s="5" t="inlineStr">
        <is>
          <t>A. Installation et menus</t>
        </is>
      </c>
      <c r="C9" s="4" t="inlineStr">
        <is>
          <t>25</t>
        </is>
      </c>
      <c r="D9" s="5" t="inlineStr">
        <is>
          <t>Préférences &gt; Raccourcis : passer « Nouveau projet » en Ctrl+Maj+N ; donner Ctrl+S à « Ouvrir » ; puis « Tout rétablir ».</t>
        </is>
      </c>
      <c r="E9" s="5" t="inlineStr">
        <is>
          <t>Nouveau raccourci affiché dans le menu Fichier et actif ; message « Ctrl+S retiré de Enregistrer » ; défauts rétablis.</t>
        </is>
      </c>
      <c r="F9" s="6" t="inlineStr">
        <is>
          <t>Oui</t>
        </is>
      </c>
      <c r="G9" s="6" t="inlineStr">
        <is>
          <t>OK</t>
        </is>
      </c>
      <c r="H9" s="7" t="n">
        <v>46317</v>
      </c>
      <c r="I9" s="8" t="inlineStr">
        <is>
          <t>RAS</t>
        </is>
      </c>
      <c r="J9" s="19" t="inlineStr"/>
    </row>
    <row r="10" ht="63.75" customHeight="1">
      <c r="A10" s="4" t="n">
        <v>6</v>
      </c>
      <c r="B10" s="5" t="inlineStr">
        <is>
          <t>A. Installation et menus</t>
        </is>
      </c>
      <c r="C10" s="4" t="inlineStr">
        <is>
          <t>25</t>
        </is>
      </c>
      <c r="D10" s="5" t="inlineStr">
        <is>
          <t>Changer les valeurs des onglets OFFLOAD, PLAYER, TRANSCODE des Préférences, puis Général &gt; « Remettre à zéro maintenant ».</t>
        </is>
      </c>
      <c r="E10" s="5" t="inlineStr">
        <is>
          <t>Les onglets de travail reprennent les valeurs des Préférences.</t>
        </is>
      </c>
      <c r="F10" s="6" t="inlineStr">
        <is>
          <t>Oui</t>
        </is>
      </c>
      <c r="G10" s="6" t="inlineStr">
        <is>
          <t>Partiel</t>
        </is>
      </c>
      <c r="H10" s="7" t="n">
        <v>46317</v>
      </c>
      <c r="I10" s="8" t="inlineStr">
        <is>
          <t>Paramètres modifiables dans les préférences mais ne modifie pas dans le logiciel. Ajout d'un bouton "Valider" pour être sûr d'envoyer la commande au logiciel. Le bouton "Remettre à zéro" a validé les modifications au lieu de remettre à zéro.</t>
        </is>
      </c>
      <c r="J10" s="20" t="inlineStr">
        <is>
          <t>Corrigé : bouton « Valider » (applique tout de suite aux onglets et lecteurs ouverts), « Annuler », « Valeurs d'usine » par rubrique. « Remettre à zéro maintenant » renommé « Vider l'état de travail » : il vide les destinations et dossiers en cours, pas les Préférences. À refaire dans le nouveau build.</t>
        </is>
      </c>
    </row>
    <row r="11">
      <c r="A11" s="4" t="n">
        <v>7</v>
      </c>
      <c r="B11" s="5" t="inlineStr">
        <is>
          <t>B. OFFLOAD</t>
        </is>
      </c>
      <c r="C11" s="4" t="inlineStr">
        <is>
          <t>21</t>
        </is>
      </c>
      <c r="D11" s="5" t="inlineStr">
        <is>
          <t>Brancher le disque externe USB.</t>
        </is>
      </c>
      <c r="E11" s="5" t="inlineStr">
        <is>
          <t>Le disque apparaît comme amovible dans l'explorateur.</t>
        </is>
      </c>
      <c r="F11" s="6" t="inlineStr">
        <is>
          <t>Oui</t>
        </is>
      </c>
      <c r="G11" s="6" t="inlineStr">
        <is>
          <t>OK</t>
        </is>
      </c>
      <c r="H11" s="7" t="n">
        <v>46317</v>
      </c>
      <c r="I11" s="8" t="inlineStr">
        <is>
          <t>RAS</t>
        </is>
      </c>
      <c r="J11" s="19" t="inlineStr"/>
    </row>
    <row r="12" ht="25.5" customHeight="1">
      <c r="A12" s="4" t="n">
        <v>8</v>
      </c>
      <c r="B12" s="5" t="inlineStr">
        <is>
          <t>B. OFFLOAD</t>
        </is>
      </c>
      <c r="C12" s="4" t="inlineStr">
        <is>
          <t>32</t>
        </is>
      </c>
      <c r="D12" s="5" t="inlineStr">
        <is>
          <t>Bloc « Rapport PDF » : choisir un logo (PNG transparent si possible), laisser « Vignettes des vidéos » cochée.</t>
        </is>
      </c>
      <c r="E12" s="5" t="inlineStr">
        <is>
          <t>Réglages acceptés et mémorisés.</t>
        </is>
      </c>
      <c r="F12" s="6" t="inlineStr">
        <is>
          <t>Oui</t>
        </is>
      </c>
      <c r="G12" s="6" t="inlineStr">
        <is>
          <t>OK</t>
        </is>
      </c>
      <c r="H12" s="7" t="n">
        <v>46317</v>
      </c>
      <c r="I12" s="8" t="inlineStr">
        <is>
          <t>RAS</t>
        </is>
      </c>
      <c r="J12" s="19" t="inlineStr"/>
    </row>
    <row r="13" ht="25.5" customHeight="1">
      <c r="A13" s="4" t="n">
        <v>9</v>
      </c>
      <c r="B13" s="5" t="inlineStr">
        <is>
          <t>B. OFFLOAD</t>
        </is>
      </c>
      <c r="C13" s="4" t="inlineStr">
        <is>
          <t>33</t>
        </is>
      </c>
      <c r="D13" s="5" t="inlineStr">
        <is>
          <t>Cocher « Horodatage certifié RFC 3161 » (PC connecté à Internet).</t>
        </is>
      </c>
      <c r="E13" s="5" t="inlineStr">
        <is>
          <t>Option cochée, adresse DigiCert proposée.</t>
        </is>
      </c>
      <c r="F13" s="6" t="inlineStr">
        <is>
          <t>Oui</t>
        </is>
      </c>
      <c r="G13" s="6" t="inlineStr">
        <is>
          <t>OK</t>
        </is>
      </c>
      <c r="H13" s="7" t="n">
        <v>46317</v>
      </c>
      <c r="I13" s="8" t="inlineStr">
        <is>
          <t>RAS</t>
        </is>
      </c>
      <c r="J13" s="19" t="inlineStr"/>
    </row>
    <row r="14" ht="38.25" customHeight="1">
      <c r="A14" s="4" t="n">
        <v>10</v>
      </c>
      <c r="B14" s="5" t="inlineStr">
        <is>
          <t>B. OFFLOAD</t>
        </is>
      </c>
      <c r="C14" s="4" t="inlineStr">
        <is>
          <t>31</t>
        </is>
      </c>
      <c r="D14" s="5" t="inlineStr">
        <is>
          <t>Reconnaissance de carte : choisir comme source un dossier qui a gardé la structure d'une carte caméra (dossier PRIVATE/M4ROOT de Sony, fichiers .R3D de RED, clips A001C001... d'ARRI). Puis modèle d'arborescence {date}/{camera}/{bobine} et lecture de l'aperçu du chemin.</t>
        </is>
      </c>
      <c r="E14" s="5" t="inlineStr">
        <is>
          <t>Sous la source : « Carte reconnue : &lt;type&gt;, bobine &lt;nom&gt; ». L'aperçu du chemin reprend la lettre de caméra et la bobine. Sans structure de carte : rien d'affiché, {bobine} prend le nom du dossier.</t>
        </is>
      </c>
      <c r="F14" s="6" t="inlineStr">
        <is>
          <t>Non</t>
        </is>
      </c>
      <c r="G14" s="6" t="n"/>
      <c r="H14" s="7" t="n"/>
      <c r="I14" s="8" t="inlineStr">
        <is>
          <t>Je ne comprends pas ce test?</t>
        </is>
      </c>
      <c r="J14" s="20" t="inlineStr">
        <is>
          <t>Test reformulé (colonne Action) : il vérifie que VERIFLOW reconnaît le type de carte d'après ses dossiers. Sans carte caméra, ou sans dossier qui a gardé la structure d'origine, marque « Non testable » et vérifie seulement l'aperçu du chemin.</t>
        </is>
      </c>
    </row>
    <row r="15" ht="38.25" customHeight="1">
      <c r="A15" s="4" t="n">
        <v>11</v>
      </c>
      <c r="B15" s="5" t="inlineStr">
        <is>
          <t>B. OFFLOAD</t>
        </is>
      </c>
      <c r="C15" s="4" t="inlineStr">
        <is>
          <t>21, 31, 32, 33</t>
        </is>
      </c>
      <c r="D15" s="5" t="inlineStr">
        <is>
          <t>Copier un dossier de rushes vers le disque interne, « Éjecter la source après la copie » cochée.</t>
        </is>
      </c>
      <c r="E15" s="5" t="inlineStr">
        <is>
          <t>Dossier créé conforme à l'aperçu ; PDF avec logo et vignettes ; date certifiée sur la carte de la copie et fichier .pdf.tsr à côté du PDF ; « Source éjectée » sans fermer VERIFLOW.</t>
        </is>
      </c>
      <c r="F15" s="6" t="inlineStr">
        <is>
          <t>Oui</t>
        </is>
      </c>
      <c r="G15" s="6" t="inlineStr">
        <is>
          <t>Partiel</t>
        </is>
      </c>
      <c r="H15" s="7" t="n">
        <v>46317</v>
      </c>
      <c r="I15" s="8" t="inlineStr">
        <is>
          <t>Source non éjectée car marquée comme utilisée (disque dur externe en USB)</t>
        </is>
      </c>
      <c r="J15" s="20" t="inlineStr">
        <is>
          <t>Corrigé à vérifier : VERIFLOW quitte le dossier du disque avant l'éjection (cause probable : le sélecteur de fichiers « Parcourir »). En cas de refus, le message reprend le programme bloquant noté par Windows. Note le message exact s'il revient.</t>
        </is>
      </c>
    </row>
    <row r="16" ht="25.5" customHeight="1">
      <c r="A16" s="4" t="n">
        <v>12</v>
      </c>
      <c r="B16" s="5" t="inlineStr">
        <is>
          <t>B. OFFLOAD</t>
        </is>
      </c>
      <c r="C16" s="4" t="inlineStr">
        <is>
          <t>33</t>
        </is>
      </c>
      <c r="D16" s="5" t="inlineStr">
        <is>
          <t>Rebrancher le disque, couper le Wi-Fi, refaire une petite copie.</t>
        </is>
      </c>
      <c r="E16" s="5" t="inlineStr">
        <is>
          <t>Rapports écrits ; « Horodatage impossible » affiché avec la cause.</t>
        </is>
      </c>
      <c r="F16" s="6" t="inlineStr">
        <is>
          <t>Oui</t>
        </is>
      </c>
      <c r="G16" s="6" t="inlineStr">
        <is>
          <t>OK</t>
        </is>
      </c>
      <c r="H16" s="7" t="n">
        <v>46317</v>
      </c>
      <c r="I16" s="8" t="inlineStr">
        <is>
          <t>RAS</t>
        </is>
      </c>
      <c r="J16" s="19" t="inlineStr"/>
    </row>
    <row r="17" ht="25.5" customHeight="1">
      <c r="A17" s="4" t="n">
        <v>13</v>
      </c>
      <c r="B17" s="5" t="inlineStr">
        <is>
          <t>B. OFFLOAD</t>
        </is>
      </c>
      <c r="C17" s="4" t="inlineStr">
        <is>
          <t>21</t>
        </is>
      </c>
      <c r="D17" s="5" t="inlineStr">
        <is>
          <t>Refaire une copie avec un fichier de la source ouvert dans un autre logiciel.</t>
        </is>
      </c>
      <c r="E17" s="5" t="inlineStr">
        <is>
          <t>Message « encore utilisé par un autre programme » ; le disque reste visible.</t>
        </is>
      </c>
      <c r="F17" s="6" t="inlineStr">
        <is>
          <t>Oui</t>
        </is>
      </c>
      <c r="G17" s="6" t="inlineStr">
        <is>
          <t>Non testable</t>
        </is>
      </c>
      <c r="H17" s="7" t="n">
        <v>46317</v>
      </c>
      <c r="I17" s="8" t="inlineStr">
        <is>
          <t>Cf point 11</t>
        </is>
      </c>
      <c r="J17" s="20" t="inlineStr">
        <is>
          <t>À refaire après le test 11.</t>
        </is>
      </c>
    </row>
    <row r="18" ht="25.5" customHeight="1">
      <c r="A18" s="4" t="n">
        <v>14</v>
      </c>
      <c r="B18" s="5" t="inlineStr">
        <is>
          <t>C. MEDIA et second écran</t>
        </is>
      </c>
      <c r="C18" s="4" t="inlineStr">
        <is>
          <t>35</t>
        </is>
      </c>
      <c r="D18" s="5" t="inlineStr">
        <is>
          <t>Double-clic sur un rush vidéo ; glisser la fenêtre sur la TV, la redimensionner ; Échap ; rouvrir.</t>
        </is>
      </c>
      <c r="E18" s="5" t="inlineStr">
        <is>
          <t>Vraie fenêtre système ; elle revient sur la TV, à la même taille.</t>
        </is>
      </c>
      <c r="F18" s="6" t="inlineStr">
        <is>
          <t>Non</t>
        </is>
      </c>
      <c r="G18" s="6" t="n"/>
      <c r="H18" s="7" t="n"/>
      <c r="I18" s="8" t="n"/>
      <c r="J18" s="19" t="inlineStr"/>
    </row>
    <row r="19" ht="25.5" customHeight="1">
      <c r="A19" s="4" t="n">
        <v>15</v>
      </c>
      <c r="B19" s="5" t="inlineStr">
        <is>
          <t>C. MEDIA et second écran</t>
        </is>
      </c>
      <c r="C19" s="4" t="inlineStr">
        <is>
          <t>35</t>
        </is>
      </c>
      <c r="D19" s="5" t="inlineStr">
        <is>
          <t>Double-clic sur un autre rush pendant que la fenêtre est ouverte.</t>
        </is>
      </c>
      <c r="E19" s="5" t="inlineStr">
        <is>
          <t>La même fenêtre recharge le nouveau rush.</t>
        </is>
      </c>
      <c r="F19" s="6" t="inlineStr">
        <is>
          <t>Non</t>
        </is>
      </c>
      <c r="G19" s="6" t="n"/>
      <c r="H19" s="7" t="n"/>
      <c r="I19" s="8" t="n"/>
      <c r="J19" s="19" t="inlineStr"/>
    </row>
    <row r="20" ht="38.25" customHeight="1">
      <c r="A20" s="4" t="n">
        <v>16</v>
      </c>
      <c r="B20" s="5" t="inlineStr">
        <is>
          <t>C. MEDIA et second écran</t>
        </is>
      </c>
      <c r="C20" s="4" t="inlineStr">
        <is>
          <t>35, 17</t>
        </is>
      </c>
      <c r="D20" s="5" t="inlineStr">
        <is>
          <t>Sortie moniteur sur la TV depuis le lecteur rapide ; bouger puis immobiliser la souris sur la TV ; puis sortie moniteur depuis le PLAYER.</t>
        </is>
      </c>
      <c r="E20" s="5" t="inlineStr">
        <is>
          <t>Curseur masqué après 2 s d'immobilité, visible dès qu'il bouge ; un seul lecteur alimente la TV.</t>
        </is>
      </c>
      <c r="F20" s="6" t="inlineStr">
        <is>
          <t>Non</t>
        </is>
      </c>
      <c r="G20" s="6" t="n"/>
      <c r="H20" s="7" t="n"/>
      <c r="I20" s="8" t="n"/>
      <c r="J20" s="19" t="inlineStr"/>
    </row>
    <row r="21" ht="25.5" customHeight="1">
      <c r="A21" s="4" t="n">
        <v>17</v>
      </c>
      <c r="B21" s="5" t="inlineStr">
        <is>
          <t>C. MEDIA et second écran</t>
        </is>
      </c>
      <c r="C21" s="4" t="inlineStr">
        <is>
          <t>35</t>
        </is>
      </c>
      <c r="D21" s="5" t="inlineStr">
        <is>
          <t>Débrancher la TV, rouvrir le lecteur rapide.</t>
        </is>
      </c>
      <c r="E21" s="5" t="inlineStr">
        <is>
          <t>La fenêtre s'ouvre au centre de l'écran du portable.</t>
        </is>
      </c>
      <c r="F21" s="6" t="inlineStr">
        <is>
          <t>Non</t>
        </is>
      </c>
      <c r="G21" s="6" t="n"/>
      <c r="H21" s="7" t="n"/>
      <c r="I21" s="8" t="n"/>
      <c r="J21" s="19" t="inlineStr"/>
    </row>
    <row r="22" ht="38.25" customHeight="1">
      <c r="A22" s="4" t="n">
        <v>18</v>
      </c>
      <c r="B22" s="5" t="inlineStr">
        <is>
          <t>C. MEDIA et second écran</t>
        </is>
      </c>
      <c r="C22" s="4" t="inlineStr">
        <is>
          <t>34</t>
        </is>
      </c>
      <c r="D22" s="5" t="inlineStr">
        <is>
          <t>Seulement avec un WAV de plus de 4 Go : modifier la scène ou un nom de piste, faire la copie de travail, l'ouvrir dans Reaper, Resolve ou Pro Tools.</t>
        </is>
      </c>
      <c r="E22" s="5" t="inlineStr">
        <is>
          <t>Durée, pistes et métadonnées justes.</t>
        </is>
      </c>
      <c r="F22" s="6" t="inlineStr">
        <is>
          <t>Non</t>
        </is>
      </c>
      <c r="G22" s="6" t="n"/>
      <c r="H22" s="7" t="n"/>
      <c r="I22" s="8" t="n"/>
      <c r="J22" s="19" t="inlineStr"/>
    </row>
    <row r="23" ht="25.5" customHeight="1">
      <c r="A23" s="4" t="n">
        <v>19</v>
      </c>
      <c r="B23" s="5" t="inlineStr">
        <is>
          <t>D. PLAYER</t>
        </is>
      </c>
      <c r="C23" s="4" t="inlineStr">
        <is>
          <t>30</t>
        </is>
      </c>
      <c r="D23" s="5" t="inlineStr">
        <is>
          <t>Vidéo de smartphone avec un clap : lecture depuis le début, puis après un saut au milieu.</t>
        </is>
      </c>
      <c r="E23" s="5" t="inlineStr">
        <is>
          <t>Son synchrone dans les deux cas.</t>
        </is>
      </c>
      <c r="F23" s="6" t="inlineStr">
        <is>
          <t>Non</t>
        </is>
      </c>
      <c r="G23" s="6" t="n"/>
      <c r="H23" s="7" t="n"/>
      <c r="I23" s="8" t="n"/>
      <c r="J23" s="19" t="inlineStr"/>
    </row>
    <row r="24" ht="38.25" customHeight="1">
      <c r="A24" s="4" t="n">
        <v>20</v>
      </c>
      <c r="B24" s="5" t="inlineStr">
        <is>
          <t>D. PLAYER</t>
        </is>
      </c>
      <c r="C24" s="4" t="inlineStr">
        <is>
          <t>29</t>
        </is>
      </c>
      <c r="D24" s="5" t="inlineStr">
        <is>
          <t>Cocher Préférences &gt; PLAYER &gt; « Ouvrir la saisie du rapport à chaque nouvelle prise », ouvrir un projet, charger plusieurs prises, puis recharger la même.</t>
        </is>
      </c>
      <c r="E24" s="5" t="inlineStr">
        <is>
          <t>Saisie ouverte à chaque nouvelle prise ; pas en rechargeant la même.</t>
        </is>
      </c>
      <c r="F24" s="6" t="inlineStr">
        <is>
          <t>Non</t>
        </is>
      </c>
      <c r="G24" s="6" t="n"/>
      <c r="H24" s="7" t="n"/>
      <c r="I24" s="8" t="n"/>
      <c r="J24" s="19" t="inlineStr"/>
    </row>
    <row r="25" ht="25.5" customHeight="1">
      <c r="A25" s="4" t="n">
        <v>21</v>
      </c>
      <c r="B25" s="5" t="inlineStr">
        <is>
          <t>D. PLAYER</t>
        </is>
      </c>
      <c r="C25" s="4" t="inlineStr">
        <is>
          <t>5 (en attente)</t>
        </is>
      </c>
      <c r="D25" s="5" t="inlineStr">
        <is>
          <t>Ouvrir un rush vidéo avec du LTC sur une piste audio.</t>
        </is>
      </c>
      <c r="E25" s="5" t="inlineStr">
        <is>
          <t>Piste LTC coupée ; trois choix proposés : laisser coupée, baisser de 30 dB, réactiver.</t>
        </is>
      </c>
      <c r="F25" s="6" t="inlineStr">
        <is>
          <t>Non</t>
        </is>
      </c>
      <c r="G25" s="6" t="n"/>
      <c r="H25" s="7" t="n"/>
      <c r="I25" s="8" t="n"/>
      <c r="J25" s="19" t="inlineStr"/>
    </row>
    <row r="26" ht="25.5" customHeight="1">
      <c r="A26" s="4" t="n">
        <v>22</v>
      </c>
      <c r="B26" s="5" t="inlineStr">
        <is>
          <t>E. SYNC</t>
        </is>
      </c>
      <c r="C26" s="4" t="inlineStr">
        <is>
          <t>SYNC</t>
        </is>
      </c>
      <c r="D26" s="5" t="inlineStr">
        <is>
          <t>Analyse vidéo et son : un cas avec TC, si possible un cas avec seulement du LTC sur une piste audio.</t>
        </is>
      </c>
      <c r="E26" s="5" t="inlineStr">
        <is>
          <t>Paires trouvées et calées (noter les cas non trouvés).</t>
        </is>
      </c>
      <c r="F26" s="6" t="inlineStr">
        <is>
          <t>Non</t>
        </is>
      </c>
      <c r="G26" s="6" t="n"/>
      <c r="H26" s="7" t="n"/>
      <c r="I26" s="8" t="n"/>
      <c r="J26" s="19" t="inlineStr"/>
    </row>
    <row r="27">
      <c r="A27" s="4" t="n">
        <v>23</v>
      </c>
      <c r="B27" s="5" t="inlineStr">
        <is>
          <t>E. SYNC</t>
        </is>
      </c>
      <c r="C27" s="4" t="inlineStr">
        <is>
          <t>20</t>
        </is>
      </c>
      <c r="D27" s="5" t="inlineStr">
        <is>
          <t>Ouvrir le détail d'une paire, faire défiler la colonne de gauche.</t>
        </is>
      </c>
      <c r="E27" s="5" t="inlineStr">
        <is>
          <t>Seule la colonne de gauche défile ; l'explorateur ne bouge pas.</t>
        </is>
      </c>
      <c r="F27" s="6" t="inlineStr">
        <is>
          <t>Non</t>
        </is>
      </c>
      <c r="G27" s="6" t="n"/>
      <c r="H27" s="7" t="n"/>
      <c r="I27" s="8" t="n"/>
      <c r="J27" s="19" t="inlineStr"/>
    </row>
    <row r="28">
      <c r="A28" s="4" t="n">
        <v>24</v>
      </c>
      <c r="B28" s="5" t="inlineStr">
        <is>
          <t>E. SYNC</t>
        </is>
      </c>
      <c r="C28" s="4" t="inlineStr">
        <is>
          <t>23</t>
        </is>
      </c>
      <c r="D28" s="5" t="inlineStr">
        <is>
          <t>Re-wrap « Dans un dossier ».</t>
        </is>
      </c>
      <c r="E28" s="5" t="inlineStr">
        <is>
          <t>Fichiers _sync créés dans le dossier choisi.</t>
        </is>
      </c>
      <c r="F28" s="6" t="inlineStr">
        <is>
          <t>Non</t>
        </is>
      </c>
      <c r="G28" s="6" t="n"/>
      <c r="H28" s="7" t="n"/>
      <c r="I28" s="8" t="n"/>
      <c r="J28" s="19" t="inlineStr"/>
    </row>
    <row r="29">
      <c r="A29" s="4" t="n">
        <v>25</v>
      </c>
      <c r="B29" s="5" t="inlineStr">
        <is>
          <t>E. SYNC</t>
        </is>
      </c>
      <c r="C29" s="4" t="inlineStr">
        <is>
          <t>27</t>
        </is>
      </c>
      <c r="D29" s="5" t="inlineStr">
        <is>
          <t>Passer l'interface en anglais (Préférences &gt; Général &gt; Langue).</t>
        </is>
      </c>
      <c r="E29" s="5" t="inlineStr">
        <is>
          <t>Remarques des paires affichées en anglais.</t>
        </is>
      </c>
      <c r="F29" s="6" t="inlineStr">
        <is>
          <t>Non</t>
        </is>
      </c>
      <c r="G29" s="6" t="n"/>
      <c r="H29" s="7" t="n"/>
      <c r="I29" s="8" t="n"/>
      <c r="J29" s="19" t="inlineStr"/>
    </row>
    <row r="30" ht="38.25" customHeight="1">
      <c r="A30" s="4" t="n">
        <v>26</v>
      </c>
      <c r="B30" s="5" t="inlineStr">
        <is>
          <t>F. TRANSCODE</t>
        </is>
      </c>
      <c r="C30" s="4" t="inlineStr">
        <is>
          <t>28</t>
        </is>
      </c>
      <c r="D30" s="5" t="inlineStr">
        <is>
          <t>Exporter de Resolve un titre avec transparence en ProRes 4444 ; le convertir dans VERIFLOW en ProRes 4444 puis en PNG ; réimporter dans Resolve.</t>
        </is>
      </c>
      <c r="E30" s="5" t="inlineStr">
        <is>
          <t>Transparence conservée dans les deux cas.</t>
        </is>
      </c>
      <c r="F30" s="6" t="inlineStr">
        <is>
          <t>Non</t>
        </is>
      </c>
      <c r="G30" s="6" t="n"/>
      <c r="H30" s="7" t="n"/>
      <c r="I30" s="8" t="n"/>
      <c r="J30" s="19" t="inlineStr"/>
    </row>
    <row r="31" ht="38.25" customHeight="1">
      <c r="A31" s="4" t="n">
        <v>27</v>
      </c>
      <c r="B31" s="5" t="inlineStr">
        <is>
          <t>F. TRANSCODE</t>
        </is>
      </c>
      <c r="C31" s="4" t="inlineStr">
        <is>
          <t>36</t>
        </is>
      </c>
      <c r="D31" s="5" t="inlineStr">
        <is>
          <t>Ouvrir un ASS (Aegisub, ou un SRT enregistré en ASS) ; corriger un texte et un temps ; enregistrer ; rouvrir ; incruster dans une vidéo avec TRANSCODE.</t>
        </is>
      </c>
      <c r="E31" s="5" t="inlineStr">
        <is>
          <t>Styles intacts à la réouverture ; styles respectés à l'image.</t>
        </is>
      </c>
      <c r="F31" s="6" t="inlineStr">
        <is>
          <t>Non</t>
        </is>
      </c>
      <c r="G31" s="6" t="n"/>
      <c r="H31" s="7" t="n"/>
      <c r="I31" s="8" t="n"/>
      <c r="J31" s="19" t="inlineStr"/>
    </row>
    <row r="32" ht="25.5" customHeight="1">
      <c r="A32" s="4" t="n">
        <v>28</v>
      </c>
      <c r="B32" s="5" t="inlineStr">
        <is>
          <t>G. Fin : données et désinstallation</t>
        </is>
      </c>
      <c r="C32" s="4" t="inlineStr">
        <is>
          <t>24</t>
        </is>
      </c>
      <c r="D32" s="5" t="inlineStr">
        <is>
          <t>Préférences &gt; Général &gt; « Repartir à zéro », fermer puis rouvrir VERIFLOW.</t>
        </is>
      </c>
      <c r="E32" s="5" t="inlineStr">
        <is>
          <t>État de travail vide ; langue et favoris conservés.</t>
        </is>
      </c>
      <c r="F32" s="6" t="inlineStr">
        <is>
          <t>Non</t>
        </is>
      </c>
      <c r="G32" s="6" t="n"/>
      <c r="H32" s="7" t="n"/>
      <c r="I32" s="8" t="n"/>
      <c r="J32" s="19" t="inlineStr"/>
    </row>
    <row r="33" ht="25.5" customHeight="1">
      <c r="A33" s="4" t="n">
        <v>29</v>
      </c>
      <c r="B33" s="5" t="inlineStr">
        <is>
          <t>G. Fin : données et désinstallation</t>
        </is>
      </c>
      <c r="C33" s="4" t="inlineStr">
        <is>
          <t>24</t>
        </is>
      </c>
      <c r="D33" s="5" t="inlineStr">
        <is>
          <t>Désinstaller par Paramètres &gt; Applications, case « Supprimer les données de l'application » cochée ; réinstaller.</t>
        </is>
      </c>
      <c r="E33" s="5" t="inlineStr">
        <is>
          <t>Plus aucune destination OFFLOAD.</t>
        </is>
      </c>
      <c r="F33" s="6" t="inlineStr">
        <is>
          <t>Non</t>
        </is>
      </c>
      <c r="G33" s="6" t="n"/>
      <c r="H33" s="7" t="n"/>
      <c r="I33" s="8" t="n"/>
      <c r="J33" s="19" t="inlineStr"/>
    </row>
  </sheetData>
  <autoFilter ref="A4:J33"/>
  <conditionalFormatting sqref="G5:G33">
    <cfRule type="cellIs" priority="1" operator="equal" dxfId="1">
      <formula>"OK"</formula>
    </cfRule>
    <cfRule type="cellIs" priority="2" operator="equal" dxfId="0">
      <formula>"KO"</formula>
    </cfRule>
    <cfRule type="cellIs" priority="3" operator="equal" dxfId="3">
      <formula>"Partiel"</formula>
    </cfRule>
    <cfRule type="cellIs" priority="4" operator="equal" dxfId="2">
      <formula>"Non testable"</formula>
    </cfRule>
  </conditionalFormatting>
  <dataValidations count="3">
    <dataValidation sqref="F5:F33" showDropDown="0" showInputMessage="0" showErrorMessage="0" allowBlank="1" type="list">
      <formula1>"Oui,Non"</formula1>
    </dataValidation>
    <dataValidation sqref="G5:G33" showDropDown="0" showInputMessage="0" showErrorMessage="0" allowBlank="1" type="list">
      <formula1>"OK,KO,Partiel,Non testable"</formula1>
    </dataValidation>
    <dataValidation sqref="H5:H33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B9" sqref="B9"/>
    </sheetView>
  </sheetViews>
  <sheetFormatPr baseColWidth="10" defaultColWidth="9.140625" defaultRowHeight="15"/>
  <cols>
    <col width="16" customWidth="1" min="1" max="1"/>
    <col width="8" customWidth="1" min="2" max="2"/>
    <col width="11" customWidth="1" min="3" max="3"/>
    <col width="7" customWidth="1" min="4" max="5"/>
    <col width="9" customWidth="1" min="6" max="6"/>
    <col width="13" customWidth="1" min="7" max="8"/>
  </cols>
  <sheetData>
    <row r="1" ht="16.5" customHeight="1">
      <c r="A1" s="9" t="inlineStr">
        <is>
          <t>Synthèse (calculée automatiquement depuis l'onglet Tests)</t>
        </is>
      </c>
    </row>
    <row r="3">
      <c r="A3" s="10" t="inlineStr">
        <is>
          <t>PR</t>
        </is>
      </c>
      <c r="B3" s="10" t="inlineStr">
        <is>
          <t>Tests</t>
        </is>
      </c>
      <c r="C3" s="10" t="inlineStr">
        <is>
          <t>Effectués</t>
        </is>
      </c>
      <c r="D3" s="10" t="inlineStr">
        <is>
          <t>OK</t>
        </is>
      </c>
      <c r="E3" s="10" t="inlineStr">
        <is>
          <t>KO</t>
        </is>
      </c>
      <c r="F3" s="10" t="inlineStr">
        <is>
          <t>Partiel</t>
        </is>
      </c>
      <c r="G3" s="10" t="inlineStr">
        <is>
          <t>Non testable</t>
        </is>
      </c>
      <c r="H3" s="10" t="inlineStr">
        <is>
          <t>Statut</t>
        </is>
      </c>
    </row>
    <row r="4">
      <c r="A4" s="11" t="inlineStr">
        <is>
          <t>17</t>
        </is>
      </c>
      <c r="B4" s="11">
        <f>COUNTIF(Tests!$C$5:$C$33,"*"&amp;A4&amp;"*")</f>
        <v/>
      </c>
      <c r="C4" s="11">
        <f>COUNTIFS(Tests!$C$5:$C$33,"*"&amp;A4&amp;"*",Tests!$F$5:$F$33,"Oui")</f>
        <v/>
      </c>
      <c r="D4" s="11">
        <f>COUNTIFS(Tests!$C$5:$C$33,"*"&amp;A4&amp;"*",Tests!$G$5:$G$33,"OK")</f>
        <v/>
      </c>
      <c r="E4" s="11">
        <f>COUNTIFS(Tests!$C$5:$C$33,"*"&amp;A4&amp;"*",Tests!$G$5:$G$33,"KO")</f>
        <v/>
      </c>
      <c r="F4" s="11">
        <f>COUNTIFS(Tests!$C$5:$C$33,"*"&amp;A4&amp;"*",Tests!$G$5:$G$33,"Partiel")</f>
        <v/>
      </c>
      <c r="G4" s="11">
        <f>COUNTIFS(Tests!$C$5:$C$33,"*"&amp;A4&amp;"*",Tests!$G$5:$G$33,"Non testable")</f>
        <v/>
      </c>
      <c r="H4" s="11">
        <f>IF(E4&gt;0,"À corriger",IF(D4+G4=B4,"Validée",IF(C4=0,"À tester","En cours")))</f>
        <v/>
      </c>
    </row>
    <row r="5">
      <c r="A5" s="11" t="inlineStr">
        <is>
          <t>20</t>
        </is>
      </c>
      <c r="B5" s="11">
        <f>COUNTIF(Tests!$C$5:$C$33,"*"&amp;A5&amp;"*")</f>
        <v/>
      </c>
      <c r="C5" s="11">
        <f>COUNTIFS(Tests!$C$5:$C$33,"*"&amp;A5&amp;"*",Tests!$F$5:$F$33,"Oui")</f>
        <v/>
      </c>
      <c r="D5" s="11">
        <f>COUNTIFS(Tests!$C$5:$C$33,"*"&amp;A5&amp;"*",Tests!$G$5:$G$33,"OK")</f>
        <v/>
      </c>
      <c r="E5" s="11">
        <f>COUNTIFS(Tests!$C$5:$C$33,"*"&amp;A5&amp;"*",Tests!$G$5:$G$33,"KO")</f>
        <v/>
      </c>
      <c r="F5" s="11">
        <f>COUNTIFS(Tests!$C$5:$C$33,"*"&amp;A5&amp;"*",Tests!$G$5:$G$33,"Partiel")</f>
        <v/>
      </c>
      <c r="G5" s="11">
        <f>COUNTIFS(Tests!$C$5:$C$33,"*"&amp;A5&amp;"*",Tests!$G$5:$G$33,"Non testable")</f>
        <v/>
      </c>
      <c r="H5" s="11">
        <f>IF(E5&gt;0,"À corriger",IF(D5+G5=B5,"Validée",IF(C5=0,"À tester","En cours")))</f>
        <v/>
      </c>
    </row>
    <row r="6">
      <c r="A6" s="11" t="inlineStr">
        <is>
          <t>21</t>
        </is>
      </c>
      <c r="B6" s="11">
        <f>COUNTIF(Tests!$C$5:$C$33,"*"&amp;A6&amp;"*")</f>
        <v/>
      </c>
      <c r="C6" s="11">
        <f>COUNTIFS(Tests!$C$5:$C$33,"*"&amp;A6&amp;"*",Tests!$F$5:$F$33,"Oui")</f>
        <v/>
      </c>
      <c r="D6" s="11">
        <f>COUNTIFS(Tests!$C$5:$C$33,"*"&amp;A6&amp;"*",Tests!$G$5:$G$33,"OK")</f>
        <v/>
      </c>
      <c r="E6" s="11">
        <f>COUNTIFS(Tests!$C$5:$C$33,"*"&amp;A6&amp;"*",Tests!$G$5:$G$33,"KO")</f>
        <v/>
      </c>
      <c r="F6" s="11">
        <f>COUNTIFS(Tests!$C$5:$C$33,"*"&amp;A6&amp;"*",Tests!$G$5:$G$33,"Partiel")</f>
        <v/>
      </c>
      <c r="G6" s="11">
        <f>COUNTIFS(Tests!$C$5:$C$33,"*"&amp;A6&amp;"*",Tests!$G$5:$G$33,"Non testable")</f>
        <v/>
      </c>
      <c r="H6" s="11">
        <f>IF(E6&gt;0,"À corriger",IF(D6+G6=B6,"Validée",IF(C6=0,"À tester","En cours")))</f>
        <v/>
      </c>
    </row>
    <row r="7">
      <c r="A7" s="11" t="inlineStr">
        <is>
          <t>23</t>
        </is>
      </c>
      <c r="B7" s="11">
        <f>COUNTIF(Tests!$C$5:$C$33,"*"&amp;A7&amp;"*")</f>
        <v/>
      </c>
      <c r="C7" s="11">
        <f>COUNTIFS(Tests!$C$5:$C$33,"*"&amp;A7&amp;"*",Tests!$F$5:$F$33,"Oui")</f>
        <v/>
      </c>
      <c r="D7" s="11">
        <f>COUNTIFS(Tests!$C$5:$C$33,"*"&amp;A7&amp;"*",Tests!$G$5:$G$33,"OK")</f>
        <v/>
      </c>
      <c r="E7" s="11">
        <f>COUNTIFS(Tests!$C$5:$C$33,"*"&amp;A7&amp;"*",Tests!$G$5:$G$33,"KO")</f>
        <v/>
      </c>
      <c r="F7" s="11">
        <f>COUNTIFS(Tests!$C$5:$C$33,"*"&amp;A7&amp;"*",Tests!$G$5:$G$33,"Partiel")</f>
        <v/>
      </c>
      <c r="G7" s="11">
        <f>COUNTIFS(Tests!$C$5:$C$33,"*"&amp;A7&amp;"*",Tests!$G$5:$G$33,"Non testable")</f>
        <v/>
      </c>
      <c r="H7" s="11">
        <f>IF(E7&gt;0,"À corriger",IF(D7+G7=B7,"Validée",IF(C7=0,"À tester","En cours")))</f>
        <v/>
      </c>
    </row>
    <row r="8">
      <c r="A8" s="11" t="inlineStr">
        <is>
          <t>24</t>
        </is>
      </c>
      <c r="B8" s="11">
        <f>COUNTIF(Tests!$C$5:$C$33,"*"&amp;A8&amp;"*")</f>
        <v/>
      </c>
      <c r="C8" s="11">
        <f>COUNTIFS(Tests!$C$5:$C$33,"*"&amp;A8&amp;"*",Tests!$F$5:$F$33,"Oui")</f>
        <v/>
      </c>
      <c r="D8" s="11">
        <f>COUNTIFS(Tests!$C$5:$C$33,"*"&amp;A8&amp;"*",Tests!$G$5:$G$33,"OK")</f>
        <v/>
      </c>
      <c r="E8" s="11">
        <f>COUNTIFS(Tests!$C$5:$C$33,"*"&amp;A8&amp;"*",Tests!$G$5:$G$33,"KO")</f>
        <v/>
      </c>
      <c r="F8" s="11">
        <f>COUNTIFS(Tests!$C$5:$C$33,"*"&amp;A8&amp;"*",Tests!$G$5:$G$33,"Partiel")</f>
        <v/>
      </c>
      <c r="G8" s="11">
        <f>COUNTIFS(Tests!$C$5:$C$33,"*"&amp;A8&amp;"*",Tests!$G$5:$G$33,"Non testable")</f>
        <v/>
      </c>
      <c r="H8" s="11">
        <f>IF(E8&gt;0,"À corriger",IF(D8+G8=B8,"Validée",IF(C8=0,"À tester","En cours")))</f>
        <v/>
      </c>
    </row>
    <row r="9">
      <c r="A9" s="11" t="inlineStr">
        <is>
          <t>25</t>
        </is>
      </c>
      <c r="B9" s="11">
        <f>COUNTIF(Tests!$C$5:$C$33,"*"&amp;A9&amp;"*")</f>
        <v/>
      </c>
      <c r="C9" s="11">
        <f>COUNTIFS(Tests!$C$5:$C$33,"*"&amp;A9&amp;"*",Tests!$F$5:$F$33,"Oui")</f>
        <v/>
      </c>
      <c r="D9" s="11">
        <f>COUNTIFS(Tests!$C$5:$C$33,"*"&amp;A9&amp;"*",Tests!$G$5:$G$33,"OK")</f>
        <v/>
      </c>
      <c r="E9" s="11">
        <f>COUNTIFS(Tests!$C$5:$C$33,"*"&amp;A9&amp;"*",Tests!$G$5:$G$33,"KO")</f>
        <v/>
      </c>
      <c r="F9" s="11">
        <f>COUNTIFS(Tests!$C$5:$C$33,"*"&amp;A9&amp;"*",Tests!$G$5:$G$33,"Partiel")</f>
        <v/>
      </c>
      <c r="G9" s="11">
        <f>COUNTIFS(Tests!$C$5:$C$33,"*"&amp;A9&amp;"*",Tests!$G$5:$G$33,"Non testable")</f>
        <v/>
      </c>
      <c r="H9" s="11">
        <f>IF(E9&gt;0,"À corriger",IF(D9+G9=B9,"Validée",IF(C9=0,"À tester","En cours")))</f>
        <v/>
      </c>
    </row>
    <row r="10">
      <c r="A10" s="11" t="inlineStr">
        <is>
          <t>26</t>
        </is>
      </c>
      <c r="B10" s="11">
        <f>COUNTIF(Tests!$C$5:$C$33,"*"&amp;A10&amp;"*")</f>
        <v/>
      </c>
      <c r="C10" s="11">
        <f>COUNTIFS(Tests!$C$5:$C$33,"*"&amp;A10&amp;"*",Tests!$F$5:$F$33,"Oui")</f>
        <v/>
      </c>
      <c r="D10" s="11">
        <f>COUNTIFS(Tests!$C$5:$C$33,"*"&amp;A10&amp;"*",Tests!$G$5:$G$33,"OK")</f>
        <v/>
      </c>
      <c r="E10" s="11">
        <f>COUNTIFS(Tests!$C$5:$C$33,"*"&amp;A10&amp;"*",Tests!$G$5:$G$33,"KO")</f>
        <v/>
      </c>
      <c r="F10" s="11">
        <f>COUNTIFS(Tests!$C$5:$C$33,"*"&amp;A10&amp;"*",Tests!$G$5:$G$33,"Partiel")</f>
        <v/>
      </c>
      <c r="G10" s="11">
        <f>COUNTIFS(Tests!$C$5:$C$33,"*"&amp;A10&amp;"*",Tests!$G$5:$G$33,"Non testable")</f>
        <v/>
      </c>
      <c r="H10" s="11">
        <f>IF(E10&gt;0,"À corriger",IF(D10+G10=B10,"Validée",IF(C10=0,"À tester","En cours")))</f>
        <v/>
      </c>
    </row>
    <row r="11">
      <c r="A11" s="11" t="inlineStr">
        <is>
          <t>27</t>
        </is>
      </c>
      <c r="B11" s="11">
        <f>COUNTIF(Tests!$C$5:$C$33,"*"&amp;A11&amp;"*")</f>
        <v/>
      </c>
      <c r="C11" s="11">
        <f>COUNTIFS(Tests!$C$5:$C$33,"*"&amp;A11&amp;"*",Tests!$F$5:$F$33,"Oui")</f>
        <v/>
      </c>
      <c r="D11" s="11">
        <f>COUNTIFS(Tests!$C$5:$C$33,"*"&amp;A11&amp;"*",Tests!$G$5:$G$33,"OK")</f>
        <v/>
      </c>
      <c r="E11" s="11">
        <f>COUNTIFS(Tests!$C$5:$C$33,"*"&amp;A11&amp;"*",Tests!$G$5:$G$33,"KO")</f>
        <v/>
      </c>
      <c r="F11" s="11">
        <f>COUNTIFS(Tests!$C$5:$C$33,"*"&amp;A11&amp;"*",Tests!$G$5:$G$33,"Partiel")</f>
        <v/>
      </c>
      <c r="G11" s="11">
        <f>COUNTIFS(Tests!$C$5:$C$33,"*"&amp;A11&amp;"*",Tests!$G$5:$G$33,"Non testable")</f>
        <v/>
      </c>
      <c r="H11" s="11">
        <f>IF(E11&gt;0,"À corriger",IF(D11+G11=B11,"Validée",IF(C11=0,"À tester","En cours")))</f>
        <v/>
      </c>
    </row>
    <row r="12">
      <c r="A12" s="11" t="inlineStr">
        <is>
          <t>28</t>
        </is>
      </c>
      <c r="B12" s="11">
        <f>COUNTIF(Tests!$C$5:$C$33,"*"&amp;A12&amp;"*")</f>
        <v/>
      </c>
      <c r="C12" s="11">
        <f>COUNTIFS(Tests!$C$5:$C$33,"*"&amp;A12&amp;"*",Tests!$F$5:$F$33,"Oui")</f>
        <v/>
      </c>
      <c r="D12" s="11">
        <f>COUNTIFS(Tests!$C$5:$C$33,"*"&amp;A12&amp;"*",Tests!$G$5:$G$33,"OK")</f>
        <v/>
      </c>
      <c r="E12" s="11">
        <f>COUNTIFS(Tests!$C$5:$C$33,"*"&amp;A12&amp;"*",Tests!$G$5:$G$33,"KO")</f>
        <v/>
      </c>
      <c r="F12" s="11">
        <f>COUNTIFS(Tests!$C$5:$C$33,"*"&amp;A12&amp;"*",Tests!$G$5:$G$33,"Partiel")</f>
        <v/>
      </c>
      <c r="G12" s="11">
        <f>COUNTIFS(Tests!$C$5:$C$33,"*"&amp;A12&amp;"*",Tests!$G$5:$G$33,"Non testable")</f>
        <v/>
      </c>
      <c r="H12" s="11">
        <f>IF(E12&gt;0,"À corriger",IF(D12+G12=B12,"Validée",IF(C12=0,"À tester","En cours")))</f>
        <v/>
      </c>
    </row>
    <row r="13">
      <c r="A13" s="11" t="inlineStr">
        <is>
          <t>29</t>
        </is>
      </c>
      <c r="B13" s="11">
        <f>COUNTIF(Tests!$C$5:$C$33,"*"&amp;A13&amp;"*")</f>
        <v/>
      </c>
      <c r="C13" s="11">
        <f>COUNTIFS(Tests!$C$5:$C$33,"*"&amp;A13&amp;"*",Tests!$F$5:$F$33,"Oui")</f>
        <v/>
      </c>
      <c r="D13" s="11">
        <f>COUNTIFS(Tests!$C$5:$C$33,"*"&amp;A13&amp;"*",Tests!$G$5:$G$33,"OK")</f>
        <v/>
      </c>
      <c r="E13" s="11">
        <f>COUNTIFS(Tests!$C$5:$C$33,"*"&amp;A13&amp;"*",Tests!$G$5:$G$33,"KO")</f>
        <v/>
      </c>
      <c r="F13" s="11">
        <f>COUNTIFS(Tests!$C$5:$C$33,"*"&amp;A13&amp;"*",Tests!$G$5:$G$33,"Partiel")</f>
        <v/>
      </c>
      <c r="G13" s="11">
        <f>COUNTIFS(Tests!$C$5:$C$33,"*"&amp;A13&amp;"*",Tests!$G$5:$G$33,"Non testable")</f>
        <v/>
      </c>
      <c r="H13" s="11">
        <f>IF(E13&gt;0,"À corriger",IF(D13+G13=B13,"Validée",IF(C13=0,"À tester","En cours")))</f>
        <v/>
      </c>
    </row>
    <row r="14">
      <c r="A14" s="11" t="inlineStr">
        <is>
          <t>30</t>
        </is>
      </c>
      <c r="B14" s="11">
        <f>COUNTIF(Tests!$C$5:$C$33,"*"&amp;A14&amp;"*")</f>
        <v/>
      </c>
      <c r="C14" s="11">
        <f>COUNTIFS(Tests!$C$5:$C$33,"*"&amp;A14&amp;"*",Tests!$F$5:$F$33,"Oui")</f>
        <v/>
      </c>
      <c r="D14" s="11">
        <f>COUNTIFS(Tests!$C$5:$C$33,"*"&amp;A14&amp;"*",Tests!$G$5:$G$33,"OK")</f>
        <v/>
      </c>
      <c r="E14" s="11">
        <f>COUNTIFS(Tests!$C$5:$C$33,"*"&amp;A14&amp;"*",Tests!$G$5:$G$33,"KO")</f>
        <v/>
      </c>
      <c r="F14" s="11">
        <f>COUNTIFS(Tests!$C$5:$C$33,"*"&amp;A14&amp;"*",Tests!$G$5:$G$33,"Partiel")</f>
        <v/>
      </c>
      <c r="G14" s="11">
        <f>COUNTIFS(Tests!$C$5:$C$33,"*"&amp;A14&amp;"*",Tests!$G$5:$G$33,"Non testable")</f>
        <v/>
      </c>
      <c r="H14" s="11">
        <f>IF(E14&gt;0,"À corriger",IF(D14+G14=B14,"Validée",IF(C14=0,"À tester","En cours")))</f>
        <v/>
      </c>
    </row>
    <row r="15">
      <c r="A15" s="11" t="inlineStr">
        <is>
          <t>31</t>
        </is>
      </c>
      <c r="B15" s="11">
        <f>COUNTIF(Tests!$C$5:$C$33,"*"&amp;A15&amp;"*")</f>
        <v/>
      </c>
      <c r="C15" s="11">
        <f>COUNTIFS(Tests!$C$5:$C$33,"*"&amp;A15&amp;"*",Tests!$F$5:$F$33,"Oui")</f>
        <v/>
      </c>
      <c r="D15" s="11">
        <f>COUNTIFS(Tests!$C$5:$C$33,"*"&amp;A15&amp;"*",Tests!$G$5:$G$33,"OK")</f>
        <v/>
      </c>
      <c r="E15" s="11">
        <f>COUNTIFS(Tests!$C$5:$C$33,"*"&amp;A15&amp;"*",Tests!$G$5:$G$33,"KO")</f>
        <v/>
      </c>
      <c r="F15" s="11">
        <f>COUNTIFS(Tests!$C$5:$C$33,"*"&amp;A15&amp;"*",Tests!$G$5:$G$33,"Partiel")</f>
        <v/>
      </c>
      <c r="G15" s="11">
        <f>COUNTIFS(Tests!$C$5:$C$33,"*"&amp;A15&amp;"*",Tests!$G$5:$G$33,"Non testable")</f>
        <v/>
      </c>
      <c r="H15" s="11">
        <f>IF(E15&gt;0,"À corriger",IF(D15+G15=B15,"Validée",IF(C15=0,"À tester","En cours")))</f>
        <v/>
      </c>
    </row>
    <row r="16">
      <c r="A16" s="11" t="inlineStr">
        <is>
          <t>32</t>
        </is>
      </c>
      <c r="B16" s="11">
        <f>COUNTIF(Tests!$C$5:$C$33,"*"&amp;A16&amp;"*")</f>
        <v/>
      </c>
      <c r="C16" s="11">
        <f>COUNTIFS(Tests!$C$5:$C$33,"*"&amp;A16&amp;"*",Tests!$F$5:$F$33,"Oui")</f>
        <v/>
      </c>
      <c r="D16" s="11">
        <f>COUNTIFS(Tests!$C$5:$C$33,"*"&amp;A16&amp;"*",Tests!$G$5:$G$33,"OK")</f>
        <v/>
      </c>
      <c r="E16" s="11">
        <f>COUNTIFS(Tests!$C$5:$C$33,"*"&amp;A16&amp;"*",Tests!$G$5:$G$33,"KO")</f>
        <v/>
      </c>
      <c r="F16" s="11">
        <f>COUNTIFS(Tests!$C$5:$C$33,"*"&amp;A16&amp;"*",Tests!$G$5:$G$33,"Partiel")</f>
        <v/>
      </c>
      <c r="G16" s="11">
        <f>COUNTIFS(Tests!$C$5:$C$33,"*"&amp;A16&amp;"*",Tests!$G$5:$G$33,"Non testable")</f>
        <v/>
      </c>
      <c r="H16" s="11">
        <f>IF(E16&gt;0,"À corriger",IF(D16+G16=B16,"Validée",IF(C16=0,"À tester","En cours")))</f>
        <v/>
      </c>
    </row>
    <row r="17">
      <c r="A17" s="11" t="inlineStr">
        <is>
          <t>33</t>
        </is>
      </c>
      <c r="B17" s="11">
        <f>COUNTIF(Tests!$C$5:$C$33,"*"&amp;A17&amp;"*")</f>
        <v/>
      </c>
      <c r="C17" s="11">
        <f>COUNTIFS(Tests!$C$5:$C$33,"*"&amp;A17&amp;"*",Tests!$F$5:$F$33,"Oui")</f>
        <v/>
      </c>
      <c r="D17" s="11">
        <f>COUNTIFS(Tests!$C$5:$C$33,"*"&amp;A17&amp;"*",Tests!$G$5:$G$33,"OK")</f>
        <v/>
      </c>
      <c r="E17" s="11">
        <f>COUNTIFS(Tests!$C$5:$C$33,"*"&amp;A17&amp;"*",Tests!$G$5:$G$33,"KO")</f>
        <v/>
      </c>
      <c r="F17" s="11">
        <f>COUNTIFS(Tests!$C$5:$C$33,"*"&amp;A17&amp;"*",Tests!$G$5:$G$33,"Partiel")</f>
        <v/>
      </c>
      <c r="G17" s="11">
        <f>COUNTIFS(Tests!$C$5:$C$33,"*"&amp;A17&amp;"*",Tests!$G$5:$G$33,"Non testable")</f>
        <v/>
      </c>
      <c r="H17" s="11">
        <f>IF(E17&gt;0,"À corriger",IF(D17+G17=B17,"Validée",IF(C17=0,"À tester","En cours")))</f>
        <v/>
      </c>
    </row>
    <row r="18">
      <c r="A18" s="11" t="inlineStr">
        <is>
          <t>34</t>
        </is>
      </c>
      <c r="B18" s="11">
        <f>COUNTIF(Tests!$C$5:$C$33,"*"&amp;A18&amp;"*")</f>
        <v/>
      </c>
      <c r="C18" s="11">
        <f>COUNTIFS(Tests!$C$5:$C$33,"*"&amp;A18&amp;"*",Tests!$F$5:$F$33,"Oui")</f>
        <v/>
      </c>
      <c r="D18" s="11">
        <f>COUNTIFS(Tests!$C$5:$C$33,"*"&amp;A18&amp;"*",Tests!$G$5:$G$33,"OK")</f>
        <v/>
      </c>
      <c r="E18" s="11">
        <f>COUNTIFS(Tests!$C$5:$C$33,"*"&amp;A18&amp;"*",Tests!$G$5:$G$33,"KO")</f>
        <v/>
      </c>
      <c r="F18" s="11">
        <f>COUNTIFS(Tests!$C$5:$C$33,"*"&amp;A18&amp;"*",Tests!$G$5:$G$33,"Partiel")</f>
        <v/>
      </c>
      <c r="G18" s="11">
        <f>COUNTIFS(Tests!$C$5:$C$33,"*"&amp;A18&amp;"*",Tests!$G$5:$G$33,"Non testable")</f>
        <v/>
      </c>
      <c r="H18" s="11">
        <f>IF(E18&gt;0,"À corriger",IF(D18+G18=B18,"Validée",IF(C18=0,"À tester","En cours")))</f>
        <v/>
      </c>
    </row>
    <row r="19">
      <c r="A19" s="11" t="inlineStr">
        <is>
          <t>35</t>
        </is>
      </c>
      <c r="B19" s="11">
        <f>COUNTIF(Tests!$C$5:$C$33,"*"&amp;A19&amp;"*")</f>
        <v/>
      </c>
      <c r="C19" s="11">
        <f>COUNTIFS(Tests!$C$5:$C$33,"*"&amp;A19&amp;"*",Tests!$F$5:$F$33,"Oui")</f>
        <v/>
      </c>
      <c r="D19" s="11">
        <f>COUNTIFS(Tests!$C$5:$C$33,"*"&amp;A19&amp;"*",Tests!$G$5:$G$33,"OK")</f>
        <v/>
      </c>
      <c r="E19" s="11">
        <f>COUNTIFS(Tests!$C$5:$C$33,"*"&amp;A19&amp;"*",Tests!$G$5:$G$33,"KO")</f>
        <v/>
      </c>
      <c r="F19" s="11">
        <f>COUNTIFS(Tests!$C$5:$C$33,"*"&amp;A19&amp;"*",Tests!$G$5:$G$33,"Partiel")</f>
        <v/>
      </c>
      <c r="G19" s="11">
        <f>COUNTIFS(Tests!$C$5:$C$33,"*"&amp;A19&amp;"*",Tests!$G$5:$G$33,"Non testable")</f>
        <v/>
      </c>
      <c r="H19" s="11">
        <f>IF(E19&gt;0,"À corriger",IF(D19+G19=B19,"Validée",IF(C19=0,"À tester","En cours")))</f>
        <v/>
      </c>
    </row>
    <row r="20">
      <c r="A20" s="11" t="inlineStr">
        <is>
          <t>36</t>
        </is>
      </c>
      <c r="B20" s="11">
        <f>COUNTIF(Tests!$C$5:$C$33,"*"&amp;A20&amp;"*")</f>
        <v/>
      </c>
      <c r="C20" s="11">
        <f>COUNTIFS(Tests!$C$5:$C$33,"*"&amp;A20&amp;"*",Tests!$F$5:$F$33,"Oui")</f>
        <v/>
      </c>
      <c r="D20" s="11">
        <f>COUNTIFS(Tests!$C$5:$C$33,"*"&amp;A20&amp;"*",Tests!$G$5:$G$33,"OK")</f>
        <v/>
      </c>
      <c r="E20" s="11">
        <f>COUNTIFS(Tests!$C$5:$C$33,"*"&amp;A20&amp;"*",Tests!$G$5:$G$33,"KO")</f>
        <v/>
      </c>
      <c r="F20" s="11">
        <f>COUNTIFS(Tests!$C$5:$C$33,"*"&amp;A20&amp;"*",Tests!$G$5:$G$33,"Partiel")</f>
        <v/>
      </c>
      <c r="G20" s="11">
        <f>COUNTIFS(Tests!$C$5:$C$33,"*"&amp;A20&amp;"*",Tests!$G$5:$G$33,"Non testable")</f>
        <v/>
      </c>
      <c r="H20" s="11">
        <f>IF(E20&gt;0,"À corriger",IF(D20+G20=B20,"Validée",IF(C20=0,"À tester","En cours")))</f>
        <v/>
      </c>
    </row>
    <row r="21">
      <c r="A21" s="11" t="inlineStr">
        <is>
          <t>37</t>
        </is>
      </c>
      <c r="B21" s="11">
        <f>COUNTIF(Tests!$C$5:$C$33,"*"&amp;A21&amp;"*")</f>
        <v/>
      </c>
      <c r="C21" s="11">
        <f>COUNTIFS(Tests!$C$5:$C$33,"*"&amp;A21&amp;"*",Tests!$F$5:$F$33,"Oui")</f>
        <v/>
      </c>
      <c r="D21" s="11">
        <f>COUNTIFS(Tests!$C$5:$C$33,"*"&amp;A21&amp;"*",Tests!$G$5:$G$33,"OK")</f>
        <v/>
      </c>
      <c r="E21" s="11">
        <f>COUNTIFS(Tests!$C$5:$C$33,"*"&amp;A21&amp;"*",Tests!$G$5:$G$33,"KO")</f>
        <v/>
      </c>
      <c r="F21" s="11">
        <f>COUNTIFS(Tests!$C$5:$C$33,"*"&amp;A21&amp;"*",Tests!$G$5:$G$33,"Partiel")</f>
        <v/>
      </c>
      <c r="G21" s="11">
        <f>COUNTIFS(Tests!$C$5:$C$33,"*"&amp;A21&amp;"*",Tests!$G$5:$G$33,"Non testable")</f>
        <v/>
      </c>
      <c r="H21" s="11">
        <f>IF(E21&gt;0,"À corriger",IF(D21+G21=B21,"Validée",IF(C21=0,"À tester","En cours")))</f>
        <v/>
      </c>
    </row>
    <row r="22">
      <c r="A22" s="11" t="inlineStr">
        <is>
          <t>5 (en attente)</t>
        </is>
      </c>
      <c r="B22" s="11">
        <f>COUNTIF(Tests!$C$5:$C$33,A22)</f>
        <v/>
      </c>
      <c r="C22" s="11">
        <f>COUNTIFS(Tests!$C$5:$C$33,A22,Tests!$F$5:$F$33,"Oui")</f>
        <v/>
      </c>
      <c r="D22" s="11">
        <f>COUNTIFS(Tests!$C$5:$C$33,A22,Tests!$G$5:$G$33,"OK")</f>
        <v/>
      </c>
      <c r="E22" s="11">
        <f>COUNTIFS(Tests!$C$5:$C$33,A22,Tests!$G$5:$G$33,"KO")</f>
        <v/>
      </c>
      <c r="F22" s="11">
        <f>COUNTIFS(Tests!$C$5:$C$33,A22,Tests!$G$5:$G$33,"Partiel")</f>
        <v/>
      </c>
      <c r="G22" s="11">
        <f>COUNTIFS(Tests!$C$5:$C$33,A22,Tests!$G$5:$G$33,"Non testable")</f>
        <v/>
      </c>
      <c r="H22" s="11">
        <f>IF(E22&gt;0,"À corriger",IF(D22+G22=B22,"Validée",IF(C22=0,"À tester","En cours")))</f>
        <v/>
      </c>
    </row>
    <row r="23">
      <c r="A23" s="11" t="inlineStr">
        <is>
          <t>SYNC</t>
        </is>
      </c>
      <c r="B23" s="11">
        <f>COUNTIF(Tests!$C$5:$C$33,A23)</f>
        <v/>
      </c>
      <c r="C23" s="11">
        <f>COUNTIFS(Tests!$C$5:$C$33,A23,Tests!$F$5:$F$33,"Oui")</f>
        <v/>
      </c>
      <c r="D23" s="11">
        <f>COUNTIFS(Tests!$C$5:$C$33,A23,Tests!$G$5:$G$33,"OK")</f>
        <v/>
      </c>
      <c r="E23" s="11">
        <f>COUNTIFS(Tests!$C$5:$C$33,A23,Tests!$G$5:$G$33,"KO")</f>
        <v/>
      </c>
      <c r="F23" s="11">
        <f>COUNTIFS(Tests!$C$5:$C$33,A23,Tests!$G$5:$G$33,"Partiel")</f>
        <v/>
      </c>
      <c r="G23" s="11">
        <f>COUNTIFS(Tests!$C$5:$C$33,A23,Tests!$G$5:$G$33,"Non testable")</f>
        <v/>
      </c>
      <c r="H23" s="11">
        <f>IF(E23&gt;0,"À corriger",IF(D23+G23=B23,"Validée",IF(C23=0,"À tester","En cours")))</f>
        <v/>
      </c>
    </row>
    <row r="24">
      <c r="A24" s="12" t="inlineStr">
        <is>
          <t>Total</t>
        </is>
      </c>
      <c r="B24" s="12">
        <f>COUNTA(Tests!$A$5:$A$33)</f>
        <v/>
      </c>
      <c r="C24" s="12">
        <f>COUNTIF(Tests!$F$5:$F$33,"Oui")</f>
        <v/>
      </c>
      <c r="D24" s="12">
        <f>COUNTIF(Tests!$G$5:$G$33,"OK")</f>
        <v/>
      </c>
      <c r="E24" s="12">
        <f>COUNTIF(Tests!$G$5:$G$33,"KO")</f>
        <v/>
      </c>
      <c r="F24" s="12">
        <f>COUNTIF(Tests!$G$5:$G$33,"Partiel")</f>
        <v/>
      </c>
      <c r="G24" s="12">
        <f>COUNTIF(Tests!$G$5:$G$33,"Non testable")</f>
        <v/>
      </c>
      <c r="H24" s="12" t="n"/>
    </row>
    <row r="26">
      <c r="A26" s="13" t="inlineStr">
        <is>
          <t>Un test peut couvrir plusieurs PR (ex. test 11) : il compte pour chacune. « Validée » = tous les tests de la PR en OK ou Non testable.</t>
        </is>
      </c>
    </row>
    <row r="27">
      <c r="A27" s="13" t="inlineStr">
        <is>
          <t>« 5 (en attente) » : test resté en stand-by de la PR 5 (fusionnée). « SYNC » : analyse de départ, sans PR propre.</t>
        </is>
      </c>
    </row>
  </sheetData>
  <conditionalFormatting sqref="H4:H23">
    <cfRule type="cellIs" priority="1" operator="equal" dxfId="1">
      <formula>"Validée"</formula>
    </cfRule>
    <cfRule type="cellIs" priority="2" operator="equal" dxfId="0">
      <formula>"À corriger"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10" defaultColWidth="9.140625" defaultRowHeight="15"/>
  <cols>
    <col width="24" customWidth="1" min="1" max="1"/>
    <col width="90" customWidth="1" min="2" max="2"/>
    <col width="14" customWidth="1" min="3" max="5"/>
    <col width="60" customWidth="1" min="6" max="6"/>
  </cols>
  <sheetData>
    <row r="1" ht="16.5" customHeight="1">
      <c r="A1" s="9" t="inlineStr">
        <is>
          <t>Mode d'emploi</t>
        </is>
      </c>
    </row>
    <row r="2">
      <c r="A2" s="14" t="inlineStr">
        <is>
          <t>Cellules à remplir</t>
        </is>
      </c>
      <c r="B2" s="15" t="inlineStr">
        <is>
          <t>Colonnes jaunes de l'onglet Tests : Effectué, Résultat, Date, Commentaires. Le reste est fixe.</t>
        </is>
      </c>
    </row>
    <row r="3">
      <c r="A3" s="14" t="inlineStr">
        <is>
          <t>Effectué</t>
        </is>
      </c>
      <c r="B3" s="15" t="inlineStr">
        <is>
          <t>Oui ou Non (liste déroulante).</t>
        </is>
      </c>
    </row>
    <row r="4" ht="25.5" customHeight="1">
      <c r="A4" s="14" t="inlineStr">
        <is>
          <t>Résultat</t>
        </is>
      </c>
      <c r="B4" s="15" t="inlineStr">
        <is>
          <t>OK : conforme au résultat attendu. KO : non conforme. Partiel : en partie conforme (préciser). Non testable : matériel ou fichier absent.</t>
        </is>
      </c>
    </row>
    <row r="5">
      <c r="A5" s="14" t="inlineStr">
        <is>
          <t>Date</t>
        </is>
      </c>
      <c r="B5" s="15" t="inlineStr">
        <is>
          <t>Date du test, format JJ/MM/AAAA.</t>
        </is>
      </c>
    </row>
    <row r="6" ht="25.5" customHeight="1">
      <c r="A6" s="14" t="inlineStr">
        <is>
          <t>Commentaires</t>
        </is>
      </c>
      <c r="B6" s="15" t="inlineStr">
        <is>
          <t>Pour un KO ou un Partiel : ce qui s'est passé, le message affiché, le fichier utilisé (format, caméra, codec).</t>
        </is>
      </c>
    </row>
    <row r="7">
      <c r="A7" s="14" t="inlineStr">
        <is>
          <t>Ordre</t>
        </is>
      </c>
      <c r="B7" s="15" t="inlineStr">
        <is>
          <t>Suivre l'ordre des numéros. La section G (désinstallation) efface les réglages : la faire en dernier.</t>
        </is>
      </c>
    </row>
    <row r="8">
      <c r="A8" s="14" t="inlineStr">
        <is>
          <t>Build</t>
        </is>
      </c>
      <c r="B8" s="15" t="inlineStr">
        <is>
          <t>https://github.com/Herve-obe/VERIFLOW-v4/actions/runs/39635810261 (artefact veriflow-windows-latest).</t>
        </is>
      </c>
    </row>
    <row r="9">
      <c r="A9" s="14" t="inlineStr">
        <is>
          <t>Retour</t>
        </is>
      </c>
      <c r="B9" s="15" t="inlineStr">
        <is>
          <t>Déposer le fichier rempli dans la conversation, ou le pousser dans docs/recette/ du dépôt.</t>
        </is>
      </c>
    </row>
    <row r="11" ht="16.5" customHeight="1">
      <c r="A11" s="9" t="inlineStr">
        <is>
          <t>Exemple de ligne remplie</t>
        </is>
      </c>
    </row>
    <row r="12">
      <c r="A12" s="16" t="inlineStr">
        <is>
          <t>N°</t>
        </is>
      </c>
      <c r="B12" s="16" t="inlineStr">
        <is>
          <t>PR</t>
        </is>
      </c>
      <c r="C12" s="16" t="inlineStr">
        <is>
          <t>Effectué</t>
        </is>
      </c>
      <c r="D12" s="16" t="inlineStr">
        <is>
          <t>Résultat</t>
        </is>
      </c>
      <c r="E12" s="16" t="inlineStr">
        <is>
          <t>Date</t>
        </is>
      </c>
      <c r="F12" s="16" t="inlineStr">
        <is>
          <t>Commentaires</t>
        </is>
      </c>
    </row>
    <row r="13" ht="25.5" customHeight="1">
      <c r="A13" s="17" t="n">
        <v>13</v>
      </c>
      <c r="B13" s="17" t="inlineStr">
        <is>
          <t>21</t>
        </is>
      </c>
      <c r="C13" s="17" t="inlineStr">
        <is>
          <t>Oui</t>
        </is>
      </c>
      <c r="D13" s="17" t="inlineStr">
        <is>
          <t>KO</t>
        </is>
      </c>
      <c r="E13" s="17" t="inlineStr">
        <is>
          <t>21/10/2026</t>
        </is>
      </c>
      <c r="F13" s="17" t="inlineStr">
        <is>
          <t>Fichier ouvert dans Reaper : message affiché, mais le disque a disparu de l'explorateur.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2026-10-21T17:18:59Z</dcterms:created>
  <dcterms:modified xsi:type="dcterms:W3CDTF">2026-10-23T11:59:38Z</dcterms:modified>
  <cp:lastModifiedBy>OBEJERO Hervé</cp:lastModifiedBy>
</cp:coreProperties>
</file>